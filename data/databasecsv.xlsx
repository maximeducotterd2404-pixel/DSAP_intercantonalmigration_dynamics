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maximeducotterd/Desktop/finalcapstone/data/"/>
    </mc:Choice>
  </mc:AlternateContent>
  <xr:revisionPtr revIDLastSave="0" documentId="8_{5034745C-6A1D-294E-95F3-66303C39D988}" xr6:coauthVersionLast="47" xr6:coauthVersionMax="47" xr10:uidLastSave="{00000000-0000-0000-0000-000000000000}"/>
  <bookViews>
    <workbookView xWindow="0" yWindow="500" windowWidth="28800" windowHeight="16380" xr2:uid="{84DBC18D-2D30-E647-B564-5004DFEC53A4}"/>
  </bookViews>
  <sheets>
    <sheet name="panel_choc_taux_suisse_2014_202" sheetId="1" r:id="rId1"/>
    <sheet name="Feuil1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1" l="1"/>
  <c r="Z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" i="1"/>
  <c r="G3" i="1"/>
  <c r="G4" i="1"/>
  <c r="G5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" i="1"/>
  <c r="AL9" i="1"/>
  <c r="H2" i="1"/>
  <c r="K2" i="1"/>
  <c r="R2" i="1"/>
  <c r="U2" i="1"/>
  <c r="X2" i="1"/>
  <c r="AD2" i="1"/>
  <c r="H3" i="1"/>
  <c r="K3" i="1"/>
  <c r="P3" i="1"/>
  <c r="R3" i="1"/>
  <c r="U3" i="1"/>
  <c r="X3" i="1"/>
  <c r="AD3" i="1"/>
  <c r="AI3" i="1"/>
  <c r="AK3" i="1"/>
  <c r="AL3" i="1"/>
  <c r="H4" i="1"/>
  <c r="K4" i="1"/>
  <c r="P4" i="1"/>
  <c r="R4" i="1"/>
  <c r="U4" i="1"/>
  <c r="X4" i="1"/>
  <c r="AD4" i="1"/>
  <c r="AI4" i="1"/>
  <c r="AK4" i="1"/>
  <c r="AL4" i="1"/>
  <c r="H5" i="1"/>
  <c r="K5" i="1"/>
  <c r="P5" i="1"/>
  <c r="R5" i="1"/>
  <c r="U5" i="1"/>
  <c r="X5" i="1"/>
  <c r="AD5" i="1"/>
  <c r="AI5" i="1"/>
  <c r="AK5" i="1"/>
  <c r="AL5" i="1"/>
  <c r="H6" i="1"/>
  <c r="K6" i="1"/>
  <c r="P6" i="1"/>
  <c r="R6" i="1"/>
  <c r="U6" i="1"/>
  <c r="X6" i="1"/>
  <c r="AD6" i="1"/>
  <c r="AI6" i="1"/>
  <c r="AK6" i="1"/>
  <c r="AL6" i="1"/>
  <c r="H7" i="1"/>
  <c r="K7" i="1"/>
  <c r="P7" i="1"/>
  <c r="R7" i="1"/>
  <c r="U7" i="1"/>
  <c r="X7" i="1"/>
  <c r="AD7" i="1"/>
  <c r="AI7" i="1"/>
  <c r="AK7" i="1"/>
  <c r="AL7" i="1"/>
  <c r="H8" i="1"/>
  <c r="K8" i="1"/>
  <c r="P8" i="1"/>
  <c r="R8" i="1"/>
  <c r="U8" i="1"/>
  <c r="X8" i="1"/>
  <c r="AD8" i="1"/>
  <c r="AI8" i="1"/>
  <c r="AK8" i="1"/>
  <c r="AL8" i="1"/>
  <c r="H9" i="1"/>
  <c r="K9" i="1"/>
  <c r="P9" i="1"/>
  <c r="R9" i="1"/>
  <c r="U9" i="1"/>
  <c r="X9" i="1"/>
  <c r="AD9" i="1"/>
  <c r="AI9" i="1"/>
  <c r="AK9" i="1"/>
  <c r="H10" i="1"/>
  <c r="K10" i="1"/>
  <c r="P10" i="1"/>
  <c r="R10" i="1"/>
  <c r="U10" i="1"/>
  <c r="X10" i="1"/>
  <c r="AD10" i="1"/>
  <c r="AI10" i="1"/>
  <c r="AK10" i="1"/>
  <c r="AL10" i="1"/>
  <c r="H11" i="1"/>
  <c r="K11" i="1"/>
  <c r="P11" i="1"/>
  <c r="R11" i="1"/>
  <c r="U11" i="1"/>
  <c r="X11" i="1"/>
  <c r="AD11" i="1"/>
  <c r="AI11" i="1"/>
  <c r="AK11" i="1"/>
  <c r="AL11" i="1"/>
  <c r="H12" i="1"/>
  <c r="K12" i="1"/>
  <c r="R12" i="1"/>
  <c r="U12" i="1"/>
  <c r="X12" i="1"/>
  <c r="AD12" i="1"/>
  <c r="H13" i="1"/>
  <c r="K13" i="1"/>
  <c r="R13" i="1"/>
  <c r="U13" i="1"/>
  <c r="X13" i="1"/>
  <c r="AD13" i="1"/>
  <c r="AI13" i="1"/>
  <c r="AK13" i="1"/>
  <c r="AL13" i="1"/>
  <c r="H14" i="1"/>
  <c r="K14" i="1"/>
  <c r="R14" i="1"/>
  <c r="U14" i="1"/>
  <c r="X14" i="1"/>
  <c r="AD14" i="1"/>
  <c r="AI14" i="1"/>
  <c r="AK14" i="1"/>
  <c r="AL14" i="1"/>
  <c r="H15" i="1"/>
  <c r="K15" i="1"/>
  <c r="R15" i="1"/>
  <c r="U15" i="1"/>
  <c r="X15" i="1"/>
  <c r="AD15" i="1"/>
  <c r="AI15" i="1"/>
  <c r="AK15" i="1"/>
  <c r="AL15" i="1"/>
  <c r="H16" i="1"/>
  <c r="K16" i="1"/>
  <c r="R16" i="1"/>
  <c r="U16" i="1"/>
  <c r="X16" i="1"/>
  <c r="AD16" i="1"/>
  <c r="AI16" i="1"/>
  <c r="AK16" i="1"/>
  <c r="AL16" i="1"/>
  <c r="H17" i="1"/>
  <c r="K17" i="1"/>
  <c r="R17" i="1"/>
  <c r="U17" i="1"/>
  <c r="X17" i="1"/>
  <c r="AD17" i="1"/>
  <c r="AI17" i="1"/>
  <c r="AK17" i="1"/>
  <c r="AL17" i="1"/>
  <c r="H18" i="1"/>
  <c r="K18" i="1"/>
  <c r="R18" i="1"/>
  <c r="U18" i="1"/>
  <c r="X18" i="1"/>
  <c r="AD18" i="1"/>
  <c r="AI18" i="1"/>
  <c r="AK18" i="1"/>
  <c r="AL18" i="1"/>
  <c r="H19" i="1"/>
  <c r="K19" i="1"/>
  <c r="R19" i="1"/>
  <c r="U19" i="1"/>
  <c r="X19" i="1"/>
  <c r="AD19" i="1"/>
  <c r="AI19" i="1"/>
  <c r="AK19" i="1"/>
  <c r="AL19" i="1"/>
  <c r="H20" i="1"/>
  <c r="K20" i="1"/>
  <c r="R20" i="1"/>
  <c r="U20" i="1"/>
  <c r="X20" i="1"/>
  <c r="AD20" i="1"/>
  <c r="AI20" i="1"/>
  <c r="AK20" i="1"/>
  <c r="AL20" i="1"/>
  <c r="H21" i="1"/>
  <c r="K21" i="1"/>
  <c r="R21" i="1"/>
  <c r="U21" i="1"/>
  <c r="X21" i="1"/>
  <c r="AD21" i="1"/>
  <c r="AI21" i="1"/>
  <c r="AK21" i="1"/>
  <c r="AL21" i="1"/>
  <c r="H22" i="1"/>
  <c r="K22" i="1"/>
  <c r="R22" i="1"/>
  <c r="U22" i="1"/>
  <c r="X22" i="1"/>
  <c r="AD22" i="1"/>
  <c r="H23" i="1"/>
  <c r="K23" i="1"/>
  <c r="R23" i="1"/>
  <c r="U23" i="1"/>
  <c r="X23" i="1"/>
  <c r="AD23" i="1"/>
  <c r="AI23" i="1"/>
  <c r="AK23" i="1"/>
  <c r="AL23" i="1"/>
  <c r="H24" i="1"/>
  <c r="K24" i="1"/>
  <c r="R24" i="1"/>
  <c r="U24" i="1"/>
  <c r="X24" i="1"/>
  <c r="AD24" i="1"/>
  <c r="AI24" i="1"/>
  <c r="AK24" i="1"/>
  <c r="AL24" i="1"/>
  <c r="H25" i="1"/>
  <c r="K25" i="1"/>
  <c r="R25" i="1"/>
  <c r="U25" i="1"/>
  <c r="X25" i="1"/>
  <c r="AD25" i="1"/>
  <c r="AI25" i="1"/>
  <c r="AK25" i="1"/>
  <c r="AL25" i="1"/>
  <c r="H26" i="1"/>
  <c r="K26" i="1"/>
  <c r="R26" i="1"/>
  <c r="U26" i="1"/>
  <c r="X26" i="1"/>
  <c r="AD26" i="1"/>
  <c r="AI26" i="1"/>
  <c r="AK26" i="1"/>
  <c r="AL26" i="1"/>
  <c r="H27" i="1"/>
  <c r="K27" i="1"/>
  <c r="R27" i="1"/>
  <c r="U27" i="1"/>
  <c r="X27" i="1"/>
  <c r="AD27" i="1"/>
  <c r="AI27" i="1"/>
  <c r="AK27" i="1"/>
  <c r="AL27" i="1"/>
  <c r="H28" i="1"/>
  <c r="K28" i="1"/>
  <c r="R28" i="1"/>
  <c r="U28" i="1"/>
  <c r="X28" i="1"/>
  <c r="AD28" i="1"/>
  <c r="AI28" i="1"/>
  <c r="AK28" i="1"/>
  <c r="AL28" i="1"/>
  <c r="H29" i="1"/>
  <c r="K29" i="1"/>
  <c r="R29" i="1"/>
  <c r="U29" i="1"/>
  <c r="X29" i="1"/>
  <c r="AD29" i="1"/>
  <c r="AI29" i="1"/>
  <c r="AK29" i="1"/>
  <c r="AL29" i="1"/>
  <c r="H30" i="1"/>
  <c r="K30" i="1"/>
  <c r="R30" i="1"/>
  <c r="U30" i="1"/>
  <c r="X30" i="1"/>
  <c r="AD30" i="1"/>
  <c r="AI30" i="1"/>
  <c r="AK30" i="1"/>
  <c r="AL30" i="1"/>
  <c r="H31" i="1"/>
  <c r="K31" i="1"/>
  <c r="R31" i="1"/>
  <c r="U31" i="1"/>
  <c r="X31" i="1"/>
  <c r="AD31" i="1"/>
  <c r="AI31" i="1"/>
  <c r="AK31" i="1"/>
  <c r="AL31" i="1"/>
  <c r="H32" i="1"/>
  <c r="K32" i="1"/>
  <c r="R32" i="1"/>
  <c r="U32" i="1"/>
  <c r="X32" i="1"/>
  <c r="AD32" i="1"/>
  <c r="H33" i="1"/>
  <c r="K33" i="1"/>
  <c r="R33" i="1"/>
  <c r="U33" i="1"/>
  <c r="X33" i="1"/>
  <c r="AD33" i="1"/>
  <c r="AI33" i="1"/>
  <c r="AK33" i="1"/>
  <c r="AL33" i="1"/>
  <c r="H34" i="1"/>
  <c r="K34" i="1"/>
  <c r="R34" i="1"/>
  <c r="U34" i="1"/>
  <c r="X34" i="1"/>
  <c r="AD34" i="1"/>
  <c r="AI34" i="1"/>
  <c r="AK34" i="1"/>
  <c r="AL34" i="1"/>
  <c r="H35" i="1"/>
  <c r="K35" i="1"/>
  <c r="R35" i="1"/>
  <c r="U35" i="1"/>
  <c r="X35" i="1"/>
  <c r="AD35" i="1"/>
  <c r="AI35" i="1"/>
  <c r="AK35" i="1"/>
  <c r="AL35" i="1"/>
  <c r="H36" i="1"/>
  <c r="K36" i="1"/>
  <c r="R36" i="1"/>
  <c r="U36" i="1"/>
  <c r="X36" i="1"/>
  <c r="AD36" i="1"/>
  <c r="AI36" i="1"/>
  <c r="AK36" i="1"/>
  <c r="AL36" i="1"/>
  <c r="H37" i="1"/>
  <c r="K37" i="1"/>
  <c r="R37" i="1"/>
  <c r="U37" i="1"/>
  <c r="X37" i="1"/>
  <c r="AD37" i="1"/>
  <c r="AI37" i="1"/>
  <c r="AK37" i="1"/>
  <c r="AL37" i="1"/>
  <c r="H38" i="1"/>
  <c r="K38" i="1"/>
  <c r="R38" i="1"/>
  <c r="U38" i="1"/>
  <c r="X38" i="1"/>
  <c r="AD38" i="1"/>
  <c r="AI38" i="1"/>
  <c r="AK38" i="1"/>
  <c r="AL38" i="1"/>
  <c r="H39" i="1"/>
  <c r="K39" i="1"/>
  <c r="R39" i="1"/>
  <c r="U39" i="1"/>
  <c r="X39" i="1"/>
  <c r="AD39" i="1"/>
  <c r="AI39" i="1"/>
  <c r="AK39" i="1"/>
  <c r="AL39" i="1"/>
  <c r="H40" i="1"/>
  <c r="K40" i="1"/>
  <c r="R40" i="1"/>
  <c r="U40" i="1"/>
  <c r="X40" i="1"/>
  <c r="AD40" i="1"/>
  <c r="AI40" i="1"/>
  <c r="AK40" i="1"/>
  <c r="AL40" i="1"/>
  <c r="H41" i="1"/>
  <c r="K41" i="1"/>
  <c r="R41" i="1"/>
  <c r="U41" i="1"/>
  <c r="X41" i="1"/>
  <c r="AD41" i="1"/>
  <c r="AI41" i="1"/>
  <c r="AK41" i="1"/>
  <c r="AL41" i="1"/>
  <c r="H42" i="1"/>
  <c r="K42" i="1"/>
  <c r="R42" i="1"/>
  <c r="U42" i="1"/>
  <c r="X42" i="1"/>
  <c r="AD42" i="1"/>
  <c r="H43" i="1"/>
  <c r="K43" i="1"/>
  <c r="R43" i="1"/>
  <c r="U43" i="1"/>
  <c r="X43" i="1"/>
  <c r="AD43" i="1"/>
  <c r="AI43" i="1"/>
  <c r="AK43" i="1"/>
  <c r="AL43" i="1"/>
  <c r="H44" i="1"/>
  <c r="K44" i="1"/>
  <c r="R44" i="1"/>
  <c r="U44" i="1"/>
  <c r="X44" i="1"/>
  <c r="AD44" i="1"/>
  <c r="AI44" i="1"/>
  <c r="AK44" i="1"/>
  <c r="AL44" i="1"/>
  <c r="H45" i="1"/>
  <c r="K45" i="1"/>
  <c r="R45" i="1"/>
  <c r="U45" i="1"/>
  <c r="X45" i="1"/>
  <c r="AD45" i="1"/>
  <c r="AI45" i="1"/>
  <c r="AK45" i="1"/>
  <c r="AL45" i="1"/>
  <c r="H46" i="1"/>
  <c r="K46" i="1"/>
  <c r="R46" i="1"/>
  <c r="U46" i="1"/>
  <c r="X46" i="1"/>
  <c r="AD46" i="1"/>
  <c r="AI46" i="1"/>
  <c r="AK46" i="1"/>
  <c r="AL46" i="1"/>
  <c r="H47" i="1"/>
  <c r="K47" i="1"/>
  <c r="R47" i="1"/>
  <c r="U47" i="1"/>
  <c r="X47" i="1"/>
  <c r="AD47" i="1"/>
  <c r="AI47" i="1"/>
  <c r="AK47" i="1"/>
  <c r="AL47" i="1"/>
  <c r="H48" i="1"/>
  <c r="K48" i="1"/>
  <c r="R48" i="1"/>
  <c r="U48" i="1"/>
  <c r="X48" i="1"/>
  <c r="AD48" i="1"/>
  <c r="AI48" i="1"/>
  <c r="AK48" i="1"/>
  <c r="AL48" i="1"/>
  <c r="H49" i="1"/>
  <c r="K49" i="1"/>
  <c r="R49" i="1"/>
  <c r="U49" i="1"/>
  <c r="X49" i="1"/>
  <c r="AD49" i="1"/>
  <c r="AI49" i="1"/>
  <c r="AK49" i="1"/>
  <c r="AL49" i="1"/>
  <c r="H50" i="1"/>
  <c r="K50" i="1"/>
  <c r="R50" i="1"/>
  <c r="U50" i="1"/>
  <c r="X50" i="1"/>
  <c r="AD50" i="1"/>
  <c r="AI50" i="1"/>
  <c r="AK50" i="1"/>
  <c r="AL50" i="1"/>
  <c r="H51" i="1"/>
  <c r="K51" i="1"/>
  <c r="R51" i="1"/>
  <c r="U51" i="1"/>
  <c r="X51" i="1"/>
  <c r="AD51" i="1"/>
  <c r="AI51" i="1"/>
  <c r="AK51" i="1"/>
  <c r="AL51" i="1"/>
  <c r="H52" i="1"/>
  <c r="K52" i="1"/>
  <c r="R52" i="1"/>
  <c r="U52" i="1"/>
  <c r="X52" i="1"/>
  <c r="AD52" i="1"/>
  <c r="H53" i="1"/>
  <c r="K53" i="1"/>
  <c r="R53" i="1"/>
  <c r="U53" i="1"/>
  <c r="X53" i="1"/>
  <c r="AD53" i="1"/>
  <c r="AI53" i="1"/>
  <c r="AK53" i="1"/>
  <c r="AL53" i="1"/>
  <c r="H54" i="1"/>
  <c r="K54" i="1"/>
  <c r="R54" i="1"/>
  <c r="U54" i="1"/>
  <c r="X54" i="1"/>
  <c r="AD54" i="1"/>
  <c r="AI54" i="1"/>
  <c r="AK54" i="1"/>
  <c r="AL54" i="1"/>
  <c r="H55" i="1"/>
  <c r="K55" i="1"/>
  <c r="R55" i="1"/>
  <c r="U55" i="1"/>
  <c r="X55" i="1"/>
  <c r="AD55" i="1"/>
  <c r="AI55" i="1"/>
  <c r="AK55" i="1"/>
  <c r="AL55" i="1"/>
  <c r="H56" i="1"/>
  <c r="K56" i="1"/>
  <c r="R56" i="1"/>
  <c r="U56" i="1"/>
  <c r="X56" i="1"/>
  <c r="AD56" i="1"/>
  <c r="AI56" i="1"/>
  <c r="AK56" i="1"/>
  <c r="AL56" i="1"/>
  <c r="H57" i="1"/>
  <c r="K57" i="1"/>
  <c r="R57" i="1"/>
  <c r="U57" i="1"/>
  <c r="X57" i="1"/>
  <c r="AD57" i="1"/>
  <c r="AI57" i="1"/>
  <c r="AK57" i="1"/>
  <c r="AL57" i="1"/>
  <c r="H58" i="1"/>
  <c r="K58" i="1"/>
  <c r="R58" i="1"/>
  <c r="U58" i="1"/>
  <c r="X58" i="1"/>
  <c r="AD58" i="1"/>
  <c r="AI58" i="1"/>
  <c r="AK58" i="1"/>
  <c r="AL58" i="1"/>
  <c r="H59" i="1"/>
  <c r="K59" i="1"/>
  <c r="R59" i="1"/>
  <c r="U59" i="1"/>
  <c r="X59" i="1"/>
  <c r="AD59" i="1"/>
  <c r="AI59" i="1"/>
  <c r="AK59" i="1"/>
  <c r="AL59" i="1"/>
  <c r="H60" i="1"/>
  <c r="K60" i="1"/>
  <c r="R60" i="1"/>
  <c r="U60" i="1"/>
  <c r="X60" i="1"/>
  <c r="AD60" i="1"/>
  <c r="AI60" i="1"/>
  <c r="AK60" i="1"/>
  <c r="AL60" i="1"/>
  <c r="H61" i="1"/>
  <c r="K61" i="1"/>
  <c r="R61" i="1"/>
  <c r="U61" i="1"/>
  <c r="X61" i="1"/>
  <c r="AD61" i="1"/>
  <c r="AI61" i="1"/>
  <c r="AK61" i="1"/>
  <c r="AL61" i="1"/>
  <c r="H62" i="1"/>
  <c r="K62" i="1"/>
  <c r="R62" i="1"/>
  <c r="U62" i="1"/>
  <c r="X62" i="1"/>
  <c r="AD62" i="1"/>
  <c r="H63" i="1"/>
  <c r="K63" i="1"/>
  <c r="R63" i="1"/>
  <c r="U63" i="1"/>
  <c r="X63" i="1"/>
  <c r="AD63" i="1"/>
  <c r="AI63" i="1"/>
  <c r="AK63" i="1"/>
  <c r="AL63" i="1"/>
  <c r="H64" i="1"/>
  <c r="K64" i="1"/>
  <c r="R64" i="1"/>
  <c r="U64" i="1"/>
  <c r="X64" i="1"/>
  <c r="AD64" i="1"/>
  <c r="AI64" i="1"/>
  <c r="AK64" i="1"/>
  <c r="AL64" i="1"/>
  <c r="H65" i="1"/>
  <c r="K65" i="1"/>
  <c r="R65" i="1"/>
  <c r="U65" i="1"/>
  <c r="X65" i="1"/>
  <c r="AD65" i="1"/>
  <c r="AI65" i="1"/>
  <c r="AK65" i="1"/>
  <c r="AL65" i="1"/>
  <c r="H66" i="1"/>
  <c r="K66" i="1"/>
  <c r="R66" i="1"/>
  <c r="U66" i="1"/>
  <c r="X66" i="1"/>
  <c r="AD66" i="1"/>
  <c r="AI66" i="1"/>
  <c r="AK66" i="1"/>
  <c r="AL66" i="1"/>
  <c r="H67" i="1"/>
  <c r="K67" i="1"/>
  <c r="R67" i="1"/>
  <c r="U67" i="1"/>
  <c r="X67" i="1"/>
  <c r="AD67" i="1"/>
  <c r="AI67" i="1"/>
  <c r="AK67" i="1"/>
  <c r="AL67" i="1"/>
  <c r="H68" i="1"/>
  <c r="K68" i="1"/>
  <c r="R68" i="1"/>
  <c r="U68" i="1"/>
  <c r="X68" i="1"/>
  <c r="AD68" i="1"/>
  <c r="AI68" i="1"/>
  <c r="AK68" i="1"/>
  <c r="AL68" i="1"/>
  <c r="H69" i="1"/>
  <c r="K69" i="1"/>
  <c r="R69" i="1"/>
  <c r="U69" i="1"/>
  <c r="X69" i="1"/>
  <c r="AD69" i="1"/>
  <c r="AI69" i="1"/>
  <c r="AK69" i="1"/>
  <c r="AL69" i="1"/>
  <c r="H70" i="1"/>
  <c r="K70" i="1"/>
  <c r="R70" i="1"/>
  <c r="U70" i="1"/>
  <c r="X70" i="1"/>
  <c r="AD70" i="1"/>
  <c r="AI70" i="1"/>
  <c r="AK70" i="1"/>
  <c r="AL70" i="1"/>
  <c r="H71" i="1"/>
  <c r="K71" i="1"/>
  <c r="R71" i="1"/>
  <c r="U71" i="1"/>
  <c r="X71" i="1"/>
  <c r="AD71" i="1"/>
  <c r="AI71" i="1"/>
  <c r="AK71" i="1"/>
  <c r="AL71" i="1"/>
  <c r="H72" i="1"/>
  <c r="K72" i="1"/>
  <c r="R72" i="1"/>
  <c r="U72" i="1"/>
  <c r="X72" i="1"/>
  <c r="AD72" i="1"/>
  <c r="H73" i="1"/>
  <c r="K73" i="1"/>
  <c r="R73" i="1"/>
  <c r="U73" i="1"/>
  <c r="X73" i="1"/>
  <c r="AD73" i="1"/>
  <c r="AI73" i="1"/>
  <c r="AK73" i="1"/>
  <c r="AL73" i="1"/>
  <c r="H74" i="1"/>
  <c r="K74" i="1"/>
  <c r="R74" i="1"/>
  <c r="U74" i="1"/>
  <c r="X74" i="1"/>
  <c r="AD74" i="1"/>
  <c r="AI74" i="1"/>
  <c r="AK74" i="1"/>
  <c r="AL74" i="1"/>
  <c r="H75" i="1"/>
  <c r="K75" i="1"/>
  <c r="R75" i="1"/>
  <c r="U75" i="1"/>
  <c r="X75" i="1"/>
  <c r="AD75" i="1"/>
  <c r="AI75" i="1"/>
  <c r="AK75" i="1"/>
  <c r="AL75" i="1"/>
  <c r="H76" i="1"/>
  <c r="K76" i="1"/>
  <c r="R76" i="1"/>
  <c r="U76" i="1"/>
  <c r="X76" i="1"/>
  <c r="AD76" i="1"/>
  <c r="AI76" i="1"/>
  <c r="AK76" i="1"/>
  <c r="AL76" i="1"/>
  <c r="H77" i="1"/>
  <c r="K77" i="1"/>
  <c r="R77" i="1"/>
  <c r="U77" i="1"/>
  <c r="X77" i="1"/>
  <c r="AD77" i="1"/>
  <c r="AI77" i="1"/>
  <c r="AK77" i="1"/>
  <c r="AL77" i="1"/>
  <c r="H78" i="1"/>
  <c r="K78" i="1"/>
  <c r="R78" i="1"/>
  <c r="U78" i="1"/>
  <c r="X78" i="1"/>
  <c r="AD78" i="1"/>
  <c r="AI78" i="1"/>
  <c r="AK78" i="1"/>
  <c r="AL78" i="1"/>
  <c r="H79" i="1"/>
  <c r="K79" i="1"/>
  <c r="R79" i="1"/>
  <c r="U79" i="1"/>
  <c r="X79" i="1"/>
  <c r="AD79" i="1"/>
  <c r="AI79" i="1"/>
  <c r="AK79" i="1"/>
  <c r="AL79" i="1"/>
  <c r="H80" i="1"/>
  <c r="K80" i="1"/>
  <c r="R80" i="1"/>
  <c r="U80" i="1"/>
  <c r="X80" i="1"/>
  <c r="AD80" i="1"/>
  <c r="AI80" i="1"/>
  <c r="AK80" i="1"/>
  <c r="AL80" i="1"/>
  <c r="H81" i="1"/>
  <c r="K81" i="1"/>
  <c r="R81" i="1"/>
  <c r="U81" i="1"/>
  <c r="X81" i="1"/>
  <c r="AD81" i="1"/>
  <c r="AI81" i="1"/>
  <c r="AK81" i="1"/>
  <c r="AL81" i="1"/>
  <c r="H82" i="1"/>
  <c r="K82" i="1"/>
  <c r="R82" i="1"/>
  <c r="U82" i="1"/>
  <c r="X82" i="1"/>
  <c r="AD82" i="1"/>
  <c r="H83" i="1"/>
  <c r="K83" i="1"/>
  <c r="R83" i="1"/>
  <c r="U83" i="1"/>
  <c r="X83" i="1"/>
  <c r="AD83" i="1"/>
  <c r="AI83" i="1"/>
  <c r="AK83" i="1"/>
  <c r="AL83" i="1"/>
  <c r="H84" i="1"/>
  <c r="K84" i="1"/>
  <c r="R84" i="1"/>
  <c r="U84" i="1"/>
  <c r="X84" i="1"/>
  <c r="AD84" i="1"/>
  <c r="AI84" i="1"/>
  <c r="AK84" i="1"/>
  <c r="AL84" i="1"/>
  <c r="H85" i="1"/>
  <c r="K85" i="1"/>
  <c r="R85" i="1"/>
  <c r="U85" i="1"/>
  <c r="X85" i="1"/>
  <c r="AD85" i="1"/>
  <c r="AI85" i="1"/>
  <c r="AK85" i="1"/>
  <c r="AL85" i="1"/>
  <c r="H86" i="1"/>
  <c r="K86" i="1"/>
  <c r="R86" i="1"/>
  <c r="U86" i="1"/>
  <c r="X86" i="1"/>
  <c r="AD86" i="1"/>
  <c r="AI86" i="1"/>
  <c r="AK86" i="1"/>
  <c r="AL86" i="1"/>
  <c r="H87" i="1"/>
  <c r="K87" i="1"/>
  <c r="R87" i="1"/>
  <c r="U87" i="1"/>
  <c r="X87" i="1"/>
  <c r="AD87" i="1"/>
  <c r="AI87" i="1"/>
  <c r="AK87" i="1"/>
  <c r="AL87" i="1"/>
  <c r="H88" i="1"/>
  <c r="K88" i="1"/>
  <c r="R88" i="1"/>
  <c r="U88" i="1"/>
  <c r="X88" i="1"/>
  <c r="AD88" i="1"/>
  <c r="AI88" i="1"/>
  <c r="AK88" i="1"/>
  <c r="AL88" i="1"/>
  <c r="H89" i="1"/>
  <c r="K89" i="1"/>
  <c r="R89" i="1"/>
  <c r="U89" i="1"/>
  <c r="X89" i="1"/>
  <c r="AD89" i="1"/>
  <c r="AI89" i="1"/>
  <c r="AK89" i="1"/>
  <c r="AL89" i="1"/>
  <c r="H90" i="1"/>
  <c r="K90" i="1"/>
  <c r="R90" i="1"/>
  <c r="U90" i="1"/>
  <c r="X90" i="1"/>
  <c r="AD90" i="1"/>
  <c r="AI90" i="1"/>
  <c r="AK90" i="1"/>
  <c r="AL90" i="1"/>
  <c r="H91" i="1"/>
  <c r="K91" i="1"/>
  <c r="R91" i="1"/>
  <c r="U91" i="1"/>
  <c r="X91" i="1"/>
  <c r="AD91" i="1"/>
  <c r="AI91" i="1"/>
  <c r="AK91" i="1"/>
  <c r="AL91" i="1"/>
  <c r="H92" i="1"/>
  <c r="K92" i="1"/>
  <c r="R92" i="1"/>
  <c r="U92" i="1"/>
  <c r="X92" i="1"/>
  <c r="AD92" i="1"/>
  <c r="H93" i="1"/>
  <c r="K93" i="1"/>
  <c r="R93" i="1"/>
  <c r="U93" i="1"/>
  <c r="X93" i="1"/>
  <c r="AD93" i="1"/>
  <c r="AI93" i="1"/>
  <c r="AK93" i="1"/>
  <c r="AL93" i="1"/>
  <c r="H94" i="1"/>
  <c r="K94" i="1"/>
  <c r="R94" i="1"/>
  <c r="U94" i="1"/>
  <c r="X94" i="1"/>
  <c r="AD94" i="1"/>
  <c r="AI94" i="1"/>
  <c r="AK94" i="1"/>
  <c r="AL94" i="1"/>
  <c r="H95" i="1"/>
  <c r="K95" i="1"/>
  <c r="R95" i="1"/>
  <c r="U95" i="1"/>
  <c r="X95" i="1"/>
  <c r="AD95" i="1"/>
  <c r="AI95" i="1"/>
  <c r="AK95" i="1"/>
  <c r="AL95" i="1"/>
  <c r="H96" i="1"/>
  <c r="K96" i="1"/>
  <c r="R96" i="1"/>
  <c r="U96" i="1"/>
  <c r="X96" i="1"/>
  <c r="AD96" i="1"/>
  <c r="AI96" i="1"/>
  <c r="AK96" i="1"/>
  <c r="AL96" i="1"/>
  <c r="H97" i="1"/>
  <c r="K97" i="1"/>
  <c r="R97" i="1"/>
  <c r="U97" i="1"/>
  <c r="X97" i="1"/>
  <c r="AD97" i="1"/>
  <c r="AI97" i="1"/>
  <c r="AK97" i="1"/>
  <c r="AL97" i="1"/>
  <c r="H98" i="1"/>
  <c r="K98" i="1"/>
  <c r="R98" i="1"/>
  <c r="U98" i="1"/>
  <c r="X98" i="1"/>
  <c r="AD98" i="1"/>
  <c r="AI98" i="1"/>
  <c r="AK98" i="1"/>
  <c r="AL98" i="1"/>
  <c r="H99" i="1"/>
  <c r="K99" i="1"/>
  <c r="R99" i="1"/>
  <c r="U99" i="1"/>
  <c r="X99" i="1"/>
  <c r="AD99" i="1"/>
  <c r="AI99" i="1"/>
  <c r="AK99" i="1"/>
  <c r="AL99" i="1"/>
  <c r="H100" i="1"/>
  <c r="K100" i="1"/>
  <c r="R100" i="1"/>
  <c r="U100" i="1"/>
  <c r="X100" i="1"/>
  <c r="AD100" i="1"/>
  <c r="AI100" i="1"/>
  <c r="AK100" i="1"/>
  <c r="AL100" i="1"/>
  <c r="H101" i="1"/>
  <c r="K101" i="1"/>
  <c r="R101" i="1"/>
  <c r="U101" i="1"/>
  <c r="X101" i="1"/>
  <c r="AD101" i="1"/>
  <c r="AI101" i="1"/>
  <c r="AK101" i="1"/>
  <c r="AL101" i="1"/>
  <c r="H102" i="1"/>
  <c r="K102" i="1"/>
  <c r="R102" i="1"/>
  <c r="U102" i="1"/>
  <c r="X102" i="1"/>
  <c r="AD102" i="1"/>
  <c r="H103" i="1"/>
  <c r="K103" i="1"/>
  <c r="R103" i="1"/>
  <c r="U103" i="1"/>
  <c r="X103" i="1"/>
  <c r="AD103" i="1"/>
  <c r="AI103" i="1"/>
  <c r="AK103" i="1"/>
  <c r="AL103" i="1"/>
  <c r="H104" i="1"/>
  <c r="K104" i="1"/>
  <c r="R104" i="1"/>
  <c r="U104" i="1"/>
  <c r="X104" i="1"/>
  <c r="AD104" i="1"/>
  <c r="AI104" i="1"/>
  <c r="AK104" i="1"/>
  <c r="AL104" i="1"/>
  <c r="H105" i="1"/>
  <c r="K105" i="1"/>
  <c r="R105" i="1"/>
  <c r="U105" i="1"/>
  <c r="X105" i="1"/>
  <c r="AD105" i="1"/>
  <c r="AI105" i="1"/>
  <c r="AK105" i="1"/>
  <c r="AL105" i="1"/>
  <c r="H106" i="1"/>
  <c r="K106" i="1"/>
  <c r="R106" i="1"/>
  <c r="U106" i="1"/>
  <c r="X106" i="1"/>
  <c r="AD106" i="1"/>
  <c r="AI106" i="1"/>
  <c r="AK106" i="1"/>
  <c r="AL106" i="1"/>
  <c r="H107" i="1"/>
  <c r="K107" i="1"/>
  <c r="R107" i="1"/>
  <c r="U107" i="1"/>
  <c r="X107" i="1"/>
  <c r="AD107" i="1"/>
  <c r="AI107" i="1"/>
  <c r="AK107" i="1"/>
  <c r="AL107" i="1"/>
  <c r="H108" i="1"/>
  <c r="K108" i="1"/>
  <c r="R108" i="1"/>
  <c r="U108" i="1"/>
  <c r="X108" i="1"/>
  <c r="AD108" i="1"/>
  <c r="AI108" i="1"/>
  <c r="AK108" i="1"/>
  <c r="AL108" i="1"/>
  <c r="H109" i="1"/>
  <c r="K109" i="1"/>
  <c r="R109" i="1"/>
  <c r="U109" i="1"/>
  <c r="X109" i="1"/>
  <c r="AD109" i="1"/>
  <c r="AI109" i="1"/>
  <c r="AK109" i="1"/>
  <c r="AL109" i="1"/>
  <c r="H110" i="1"/>
  <c r="K110" i="1"/>
  <c r="R110" i="1"/>
  <c r="U110" i="1"/>
  <c r="X110" i="1"/>
  <c r="AD110" i="1"/>
  <c r="AI110" i="1"/>
  <c r="AK110" i="1"/>
  <c r="AL110" i="1"/>
  <c r="H111" i="1"/>
  <c r="K111" i="1"/>
  <c r="R111" i="1"/>
  <c r="U111" i="1"/>
  <c r="X111" i="1"/>
  <c r="AD111" i="1"/>
  <c r="AI111" i="1"/>
  <c r="AK111" i="1"/>
  <c r="AL111" i="1"/>
  <c r="H112" i="1"/>
  <c r="K112" i="1"/>
  <c r="R112" i="1"/>
  <c r="U112" i="1"/>
  <c r="X112" i="1"/>
  <c r="AD112" i="1"/>
  <c r="H113" i="1"/>
  <c r="K113" i="1"/>
  <c r="R113" i="1"/>
  <c r="U113" i="1"/>
  <c r="X113" i="1"/>
  <c r="AD113" i="1"/>
  <c r="AI113" i="1"/>
  <c r="AK113" i="1"/>
  <c r="AL113" i="1"/>
  <c r="H114" i="1"/>
  <c r="K114" i="1"/>
  <c r="R114" i="1"/>
  <c r="U114" i="1"/>
  <c r="X114" i="1"/>
  <c r="AD114" i="1"/>
  <c r="AI114" i="1"/>
  <c r="AK114" i="1"/>
  <c r="AL114" i="1"/>
  <c r="H115" i="1"/>
  <c r="K115" i="1"/>
  <c r="R115" i="1"/>
  <c r="U115" i="1"/>
  <c r="X115" i="1"/>
  <c r="AD115" i="1"/>
  <c r="AI115" i="1"/>
  <c r="AK115" i="1"/>
  <c r="AL115" i="1"/>
  <c r="H116" i="1"/>
  <c r="K116" i="1"/>
  <c r="R116" i="1"/>
  <c r="U116" i="1"/>
  <c r="X116" i="1"/>
  <c r="AD116" i="1"/>
  <c r="AI116" i="1"/>
  <c r="AK116" i="1"/>
  <c r="AL116" i="1"/>
  <c r="H117" i="1"/>
  <c r="K117" i="1"/>
  <c r="R117" i="1"/>
  <c r="U117" i="1"/>
  <c r="X117" i="1"/>
  <c r="AD117" i="1"/>
  <c r="AI117" i="1"/>
  <c r="AK117" i="1"/>
  <c r="AL117" i="1"/>
  <c r="H118" i="1"/>
  <c r="K118" i="1"/>
  <c r="R118" i="1"/>
  <c r="U118" i="1"/>
  <c r="X118" i="1"/>
  <c r="AD118" i="1"/>
  <c r="AI118" i="1"/>
  <c r="AK118" i="1"/>
  <c r="AL118" i="1"/>
  <c r="H119" i="1"/>
  <c r="K119" i="1"/>
  <c r="R119" i="1"/>
  <c r="U119" i="1"/>
  <c r="X119" i="1"/>
  <c r="AD119" i="1"/>
  <c r="AI119" i="1"/>
  <c r="AK119" i="1"/>
  <c r="AL119" i="1"/>
  <c r="H120" i="1"/>
  <c r="K120" i="1"/>
  <c r="R120" i="1"/>
  <c r="U120" i="1"/>
  <c r="X120" i="1"/>
  <c r="AD120" i="1"/>
  <c r="AI120" i="1"/>
  <c r="AK120" i="1"/>
  <c r="AL120" i="1"/>
  <c r="H121" i="1"/>
  <c r="K121" i="1"/>
  <c r="R121" i="1"/>
  <c r="U121" i="1"/>
  <c r="X121" i="1"/>
  <c r="AD121" i="1"/>
  <c r="AI121" i="1"/>
  <c r="AK121" i="1"/>
  <c r="AL121" i="1"/>
  <c r="H122" i="1"/>
  <c r="K122" i="1"/>
  <c r="R122" i="1"/>
  <c r="U122" i="1"/>
  <c r="X122" i="1"/>
  <c r="AD122" i="1"/>
  <c r="H123" i="1"/>
  <c r="K123" i="1"/>
  <c r="R123" i="1"/>
  <c r="U123" i="1"/>
  <c r="X123" i="1"/>
  <c r="AD123" i="1"/>
  <c r="AI123" i="1"/>
  <c r="AK123" i="1"/>
  <c r="AL123" i="1"/>
  <c r="H124" i="1"/>
  <c r="K124" i="1"/>
  <c r="R124" i="1"/>
  <c r="U124" i="1"/>
  <c r="X124" i="1"/>
  <c r="AD124" i="1"/>
  <c r="AI124" i="1"/>
  <c r="AK124" i="1"/>
  <c r="AL124" i="1"/>
  <c r="H125" i="1"/>
  <c r="K125" i="1"/>
  <c r="R125" i="1"/>
  <c r="U125" i="1"/>
  <c r="X125" i="1"/>
  <c r="AD125" i="1"/>
  <c r="AI125" i="1"/>
  <c r="AK125" i="1"/>
  <c r="AL125" i="1"/>
  <c r="H126" i="1"/>
  <c r="K126" i="1"/>
  <c r="R126" i="1"/>
  <c r="U126" i="1"/>
  <c r="X126" i="1"/>
  <c r="AD126" i="1"/>
  <c r="AI126" i="1"/>
  <c r="AK126" i="1"/>
  <c r="AL126" i="1"/>
  <c r="H127" i="1"/>
  <c r="K127" i="1"/>
  <c r="R127" i="1"/>
  <c r="U127" i="1"/>
  <c r="X127" i="1"/>
  <c r="AD127" i="1"/>
  <c r="AI127" i="1"/>
  <c r="AK127" i="1"/>
  <c r="AL127" i="1"/>
  <c r="H128" i="1"/>
  <c r="K128" i="1"/>
  <c r="R128" i="1"/>
  <c r="U128" i="1"/>
  <c r="X128" i="1"/>
  <c r="AD128" i="1"/>
  <c r="AI128" i="1"/>
  <c r="AK128" i="1"/>
  <c r="AL128" i="1"/>
  <c r="H129" i="1"/>
  <c r="K129" i="1"/>
  <c r="R129" i="1"/>
  <c r="U129" i="1"/>
  <c r="X129" i="1"/>
  <c r="AD129" i="1"/>
  <c r="AI129" i="1"/>
  <c r="AK129" i="1"/>
  <c r="AL129" i="1"/>
  <c r="H130" i="1"/>
  <c r="K130" i="1"/>
  <c r="R130" i="1"/>
  <c r="U130" i="1"/>
  <c r="X130" i="1"/>
  <c r="AD130" i="1"/>
  <c r="AI130" i="1"/>
  <c r="AK130" i="1"/>
  <c r="AL130" i="1"/>
  <c r="H131" i="1"/>
  <c r="K131" i="1"/>
  <c r="R131" i="1"/>
  <c r="U131" i="1"/>
  <c r="X131" i="1"/>
  <c r="AD131" i="1"/>
  <c r="AI131" i="1"/>
  <c r="AK131" i="1"/>
  <c r="AL131" i="1"/>
  <c r="H132" i="1"/>
  <c r="K132" i="1"/>
  <c r="R132" i="1"/>
  <c r="U132" i="1"/>
  <c r="X132" i="1"/>
  <c r="AD132" i="1"/>
  <c r="H133" i="1"/>
  <c r="K133" i="1"/>
  <c r="R133" i="1"/>
  <c r="U133" i="1"/>
  <c r="X133" i="1"/>
  <c r="AD133" i="1"/>
  <c r="AI133" i="1"/>
  <c r="AK133" i="1"/>
  <c r="AL133" i="1"/>
  <c r="H134" i="1"/>
  <c r="K134" i="1"/>
  <c r="R134" i="1"/>
  <c r="U134" i="1"/>
  <c r="X134" i="1"/>
  <c r="AD134" i="1"/>
  <c r="AI134" i="1"/>
  <c r="AK134" i="1"/>
  <c r="AL134" i="1"/>
  <c r="H135" i="1"/>
  <c r="K135" i="1"/>
  <c r="R135" i="1"/>
  <c r="U135" i="1"/>
  <c r="X135" i="1"/>
  <c r="AD135" i="1"/>
  <c r="AI135" i="1"/>
  <c r="AK135" i="1"/>
  <c r="AL135" i="1"/>
  <c r="H136" i="1"/>
  <c r="K136" i="1"/>
  <c r="R136" i="1"/>
  <c r="U136" i="1"/>
  <c r="X136" i="1"/>
  <c r="AD136" i="1"/>
  <c r="AI136" i="1"/>
  <c r="AK136" i="1"/>
  <c r="AL136" i="1"/>
  <c r="H137" i="1"/>
  <c r="K137" i="1"/>
  <c r="R137" i="1"/>
  <c r="U137" i="1"/>
  <c r="X137" i="1"/>
  <c r="AD137" i="1"/>
  <c r="AI137" i="1"/>
  <c r="AK137" i="1"/>
  <c r="AL137" i="1"/>
  <c r="H138" i="1"/>
  <c r="K138" i="1"/>
  <c r="R138" i="1"/>
  <c r="U138" i="1"/>
  <c r="X138" i="1"/>
  <c r="AD138" i="1"/>
  <c r="AI138" i="1"/>
  <c r="AK138" i="1"/>
  <c r="AL138" i="1"/>
  <c r="H139" i="1"/>
  <c r="K139" i="1"/>
  <c r="R139" i="1"/>
  <c r="U139" i="1"/>
  <c r="X139" i="1"/>
  <c r="AD139" i="1"/>
  <c r="AI139" i="1"/>
  <c r="AK139" i="1"/>
  <c r="AL139" i="1"/>
  <c r="H140" i="1"/>
  <c r="K140" i="1"/>
  <c r="R140" i="1"/>
  <c r="U140" i="1"/>
  <c r="X140" i="1"/>
  <c r="AD140" i="1"/>
  <c r="AI140" i="1"/>
  <c r="AK140" i="1"/>
  <c r="AL140" i="1"/>
  <c r="H141" i="1"/>
  <c r="K141" i="1"/>
  <c r="R141" i="1"/>
  <c r="U141" i="1"/>
  <c r="X141" i="1"/>
  <c r="AD141" i="1"/>
  <c r="AI141" i="1"/>
  <c r="AK141" i="1"/>
  <c r="AL141" i="1"/>
  <c r="H142" i="1"/>
  <c r="K142" i="1"/>
  <c r="R142" i="1"/>
  <c r="U142" i="1"/>
  <c r="X142" i="1"/>
  <c r="AD142" i="1"/>
  <c r="H143" i="1"/>
  <c r="K143" i="1"/>
  <c r="R143" i="1"/>
  <c r="U143" i="1"/>
  <c r="X143" i="1"/>
  <c r="AD143" i="1"/>
  <c r="AI143" i="1"/>
  <c r="AK143" i="1"/>
  <c r="AL143" i="1"/>
  <c r="H144" i="1"/>
  <c r="K144" i="1"/>
  <c r="R144" i="1"/>
  <c r="U144" i="1"/>
  <c r="X144" i="1"/>
  <c r="AD144" i="1"/>
  <c r="AI144" i="1"/>
  <c r="AK144" i="1"/>
  <c r="AL144" i="1"/>
  <c r="H145" i="1"/>
  <c r="K145" i="1"/>
  <c r="R145" i="1"/>
  <c r="U145" i="1"/>
  <c r="X145" i="1"/>
  <c r="AD145" i="1"/>
  <c r="AI145" i="1"/>
  <c r="AK145" i="1"/>
  <c r="AL145" i="1"/>
  <c r="H146" i="1"/>
  <c r="K146" i="1"/>
  <c r="R146" i="1"/>
  <c r="U146" i="1"/>
  <c r="X146" i="1"/>
  <c r="AD146" i="1"/>
  <c r="AI146" i="1"/>
  <c r="AK146" i="1"/>
  <c r="AL146" i="1"/>
  <c r="H147" i="1"/>
  <c r="K147" i="1"/>
  <c r="R147" i="1"/>
  <c r="U147" i="1"/>
  <c r="X147" i="1"/>
  <c r="AD147" i="1"/>
  <c r="AI147" i="1"/>
  <c r="AK147" i="1"/>
  <c r="AL147" i="1"/>
  <c r="H148" i="1"/>
  <c r="K148" i="1"/>
  <c r="R148" i="1"/>
  <c r="U148" i="1"/>
  <c r="X148" i="1"/>
  <c r="AD148" i="1"/>
  <c r="AI148" i="1"/>
  <c r="AK148" i="1"/>
  <c r="AL148" i="1"/>
  <c r="H149" i="1"/>
  <c r="K149" i="1"/>
  <c r="R149" i="1"/>
  <c r="U149" i="1"/>
  <c r="X149" i="1"/>
  <c r="AD149" i="1"/>
  <c r="AI149" i="1"/>
  <c r="AK149" i="1"/>
  <c r="AL149" i="1"/>
  <c r="H150" i="1"/>
  <c r="K150" i="1"/>
  <c r="R150" i="1"/>
  <c r="U150" i="1"/>
  <c r="X150" i="1"/>
  <c r="AD150" i="1"/>
  <c r="AI150" i="1"/>
  <c r="AK150" i="1"/>
  <c r="AL150" i="1"/>
  <c r="H151" i="1"/>
  <c r="K151" i="1"/>
  <c r="R151" i="1"/>
  <c r="U151" i="1"/>
  <c r="X151" i="1"/>
  <c r="AD151" i="1"/>
  <c r="AI151" i="1"/>
  <c r="AK151" i="1"/>
  <c r="AL151" i="1"/>
  <c r="H152" i="1"/>
  <c r="K152" i="1"/>
  <c r="R152" i="1"/>
  <c r="U152" i="1"/>
  <c r="X152" i="1"/>
  <c r="AD152" i="1"/>
  <c r="H153" i="1"/>
  <c r="K153" i="1"/>
  <c r="R153" i="1"/>
  <c r="U153" i="1"/>
  <c r="X153" i="1"/>
  <c r="AD153" i="1"/>
  <c r="AI153" i="1"/>
  <c r="AK153" i="1"/>
  <c r="AL153" i="1"/>
  <c r="H154" i="1"/>
  <c r="K154" i="1"/>
  <c r="R154" i="1"/>
  <c r="U154" i="1"/>
  <c r="X154" i="1"/>
  <c r="AD154" i="1"/>
  <c r="AI154" i="1"/>
  <c r="AK154" i="1"/>
  <c r="AL154" i="1"/>
  <c r="H155" i="1"/>
  <c r="K155" i="1"/>
  <c r="R155" i="1"/>
  <c r="U155" i="1"/>
  <c r="X155" i="1"/>
  <c r="AD155" i="1"/>
  <c r="AI155" i="1"/>
  <c r="AK155" i="1"/>
  <c r="AL155" i="1"/>
  <c r="H156" i="1"/>
  <c r="K156" i="1"/>
  <c r="R156" i="1"/>
  <c r="U156" i="1"/>
  <c r="X156" i="1"/>
  <c r="AD156" i="1"/>
  <c r="AI156" i="1"/>
  <c r="AK156" i="1"/>
  <c r="AL156" i="1"/>
  <c r="H157" i="1"/>
  <c r="K157" i="1"/>
  <c r="R157" i="1"/>
  <c r="U157" i="1"/>
  <c r="X157" i="1"/>
  <c r="AD157" i="1"/>
  <c r="AI157" i="1"/>
  <c r="AK157" i="1"/>
  <c r="AL157" i="1"/>
  <c r="H158" i="1"/>
  <c r="K158" i="1"/>
  <c r="R158" i="1"/>
  <c r="U158" i="1"/>
  <c r="X158" i="1"/>
  <c r="AD158" i="1"/>
  <c r="AI158" i="1"/>
  <c r="AK158" i="1"/>
  <c r="AL158" i="1"/>
  <c r="H159" i="1"/>
  <c r="K159" i="1"/>
  <c r="R159" i="1"/>
  <c r="U159" i="1"/>
  <c r="X159" i="1"/>
  <c r="AD159" i="1"/>
  <c r="AI159" i="1"/>
  <c r="AK159" i="1"/>
  <c r="AL159" i="1"/>
  <c r="H160" i="1"/>
  <c r="K160" i="1"/>
  <c r="R160" i="1"/>
  <c r="U160" i="1"/>
  <c r="X160" i="1"/>
  <c r="AD160" i="1"/>
  <c r="AI160" i="1"/>
  <c r="AK160" i="1"/>
  <c r="AL160" i="1"/>
  <c r="H161" i="1"/>
  <c r="K161" i="1"/>
  <c r="R161" i="1"/>
  <c r="U161" i="1"/>
  <c r="X161" i="1"/>
  <c r="AD161" i="1"/>
  <c r="AI161" i="1"/>
  <c r="AK161" i="1"/>
  <c r="AL161" i="1"/>
  <c r="H162" i="1"/>
  <c r="K162" i="1"/>
  <c r="R162" i="1"/>
  <c r="U162" i="1"/>
  <c r="X162" i="1"/>
  <c r="AD162" i="1"/>
  <c r="H163" i="1"/>
  <c r="K163" i="1"/>
  <c r="R163" i="1"/>
  <c r="U163" i="1"/>
  <c r="X163" i="1"/>
  <c r="AD163" i="1"/>
  <c r="AI163" i="1"/>
  <c r="AK163" i="1"/>
  <c r="AL163" i="1"/>
  <c r="H164" i="1"/>
  <c r="K164" i="1"/>
  <c r="R164" i="1"/>
  <c r="U164" i="1"/>
  <c r="X164" i="1"/>
  <c r="AD164" i="1"/>
  <c r="AI164" i="1"/>
  <c r="AK164" i="1"/>
  <c r="AL164" i="1"/>
  <c r="H165" i="1"/>
  <c r="K165" i="1"/>
  <c r="R165" i="1"/>
  <c r="U165" i="1"/>
  <c r="X165" i="1"/>
  <c r="AD165" i="1"/>
  <c r="AI165" i="1"/>
  <c r="AK165" i="1"/>
  <c r="AL165" i="1"/>
  <c r="H166" i="1"/>
  <c r="K166" i="1"/>
  <c r="R166" i="1"/>
  <c r="U166" i="1"/>
  <c r="X166" i="1"/>
  <c r="AD166" i="1"/>
  <c r="AI166" i="1"/>
  <c r="AK166" i="1"/>
  <c r="AL166" i="1"/>
  <c r="H167" i="1"/>
  <c r="K167" i="1"/>
  <c r="R167" i="1"/>
  <c r="U167" i="1"/>
  <c r="X167" i="1"/>
  <c r="AD167" i="1"/>
  <c r="AI167" i="1"/>
  <c r="AK167" i="1"/>
  <c r="AL167" i="1"/>
  <c r="H168" i="1"/>
  <c r="K168" i="1"/>
  <c r="R168" i="1"/>
  <c r="U168" i="1"/>
  <c r="X168" i="1"/>
  <c r="AD168" i="1"/>
  <c r="AI168" i="1"/>
  <c r="AK168" i="1"/>
  <c r="AL168" i="1"/>
  <c r="H169" i="1"/>
  <c r="K169" i="1"/>
  <c r="R169" i="1"/>
  <c r="U169" i="1"/>
  <c r="X169" i="1"/>
  <c r="AD169" i="1"/>
  <c r="AI169" i="1"/>
  <c r="AK169" i="1"/>
  <c r="AL169" i="1"/>
  <c r="H170" i="1"/>
  <c r="K170" i="1"/>
  <c r="R170" i="1"/>
  <c r="U170" i="1"/>
  <c r="X170" i="1"/>
  <c r="AD170" i="1"/>
  <c r="AI170" i="1"/>
  <c r="AK170" i="1"/>
  <c r="AL170" i="1"/>
  <c r="H171" i="1"/>
  <c r="K171" i="1"/>
  <c r="R171" i="1"/>
  <c r="U171" i="1"/>
  <c r="X171" i="1"/>
  <c r="AD171" i="1"/>
  <c r="AI171" i="1"/>
  <c r="AK171" i="1"/>
  <c r="AL171" i="1"/>
  <c r="H172" i="1"/>
  <c r="K172" i="1"/>
  <c r="R172" i="1"/>
  <c r="U172" i="1"/>
  <c r="X172" i="1"/>
  <c r="AD172" i="1"/>
  <c r="H173" i="1"/>
  <c r="K173" i="1"/>
  <c r="R173" i="1"/>
  <c r="U173" i="1"/>
  <c r="X173" i="1"/>
  <c r="AD173" i="1"/>
  <c r="AI173" i="1"/>
  <c r="AK173" i="1"/>
  <c r="AL173" i="1"/>
  <c r="H174" i="1"/>
  <c r="K174" i="1"/>
  <c r="R174" i="1"/>
  <c r="U174" i="1"/>
  <c r="X174" i="1"/>
  <c r="AD174" i="1"/>
  <c r="AI174" i="1"/>
  <c r="AK174" i="1"/>
  <c r="AL174" i="1"/>
  <c r="H175" i="1"/>
  <c r="K175" i="1"/>
  <c r="R175" i="1"/>
  <c r="U175" i="1"/>
  <c r="X175" i="1"/>
  <c r="AD175" i="1"/>
  <c r="AI175" i="1"/>
  <c r="AK175" i="1"/>
  <c r="AL175" i="1"/>
  <c r="H176" i="1"/>
  <c r="K176" i="1"/>
  <c r="R176" i="1"/>
  <c r="U176" i="1"/>
  <c r="X176" i="1"/>
  <c r="AD176" i="1"/>
  <c r="AI176" i="1"/>
  <c r="AK176" i="1"/>
  <c r="AL176" i="1"/>
  <c r="H177" i="1"/>
  <c r="K177" i="1"/>
  <c r="R177" i="1"/>
  <c r="U177" i="1"/>
  <c r="X177" i="1"/>
  <c r="AD177" i="1"/>
  <c r="AI177" i="1"/>
  <c r="AK177" i="1"/>
  <c r="AL177" i="1"/>
  <c r="H178" i="1"/>
  <c r="K178" i="1"/>
  <c r="R178" i="1"/>
  <c r="U178" i="1"/>
  <c r="X178" i="1"/>
  <c r="AD178" i="1"/>
  <c r="AI178" i="1"/>
  <c r="AK178" i="1"/>
  <c r="AL178" i="1"/>
  <c r="H179" i="1"/>
  <c r="K179" i="1"/>
  <c r="R179" i="1"/>
  <c r="U179" i="1"/>
  <c r="X179" i="1"/>
  <c r="AD179" i="1"/>
  <c r="AI179" i="1"/>
  <c r="AK179" i="1"/>
  <c r="AL179" i="1"/>
  <c r="H180" i="1"/>
  <c r="K180" i="1"/>
  <c r="R180" i="1"/>
  <c r="U180" i="1"/>
  <c r="X180" i="1"/>
  <c r="AD180" i="1"/>
  <c r="AI180" i="1"/>
  <c r="AK180" i="1"/>
  <c r="AL180" i="1"/>
  <c r="H181" i="1"/>
  <c r="K181" i="1"/>
  <c r="R181" i="1"/>
  <c r="U181" i="1"/>
  <c r="X181" i="1"/>
  <c r="AD181" i="1"/>
  <c r="AI181" i="1"/>
  <c r="AK181" i="1"/>
  <c r="AL181" i="1"/>
  <c r="H182" i="1"/>
  <c r="K182" i="1"/>
  <c r="R182" i="1"/>
  <c r="U182" i="1"/>
  <c r="X182" i="1"/>
  <c r="AD182" i="1"/>
  <c r="H183" i="1"/>
  <c r="K183" i="1"/>
  <c r="R183" i="1"/>
  <c r="U183" i="1"/>
  <c r="X183" i="1"/>
  <c r="AD183" i="1"/>
  <c r="AI183" i="1"/>
  <c r="AK183" i="1"/>
  <c r="AL183" i="1"/>
  <c r="H184" i="1"/>
  <c r="K184" i="1"/>
  <c r="R184" i="1"/>
  <c r="U184" i="1"/>
  <c r="X184" i="1"/>
  <c r="AD184" i="1"/>
  <c r="AI184" i="1"/>
  <c r="AK184" i="1"/>
  <c r="AL184" i="1"/>
  <c r="H185" i="1"/>
  <c r="K185" i="1"/>
  <c r="R185" i="1"/>
  <c r="U185" i="1"/>
  <c r="X185" i="1"/>
  <c r="AD185" i="1"/>
  <c r="AI185" i="1"/>
  <c r="AK185" i="1"/>
  <c r="AL185" i="1"/>
  <c r="H186" i="1"/>
  <c r="K186" i="1"/>
  <c r="R186" i="1"/>
  <c r="U186" i="1"/>
  <c r="X186" i="1"/>
  <c r="AD186" i="1"/>
  <c r="AI186" i="1"/>
  <c r="AK186" i="1"/>
  <c r="AL186" i="1"/>
  <c r="H187" i="1"/>
  <c r="K187" i="1"/>
  <c r="R187" i="1"/>
  <c r="U187" i="1"/>
  <c r="X187" i="1"/>
  <c r="AD187" i="1"/>
  <c r="AI187" i="1"/>
  <c r="AK187" i="1"/>
  <c r="AL187" i="1"/>
  <c r="H188" i="1"/>
  <c r="K188" i="1"/>
  <c r="R188" i="1"/>
  <c r="U188" i="1"/>
  <c r="X188" i="1"/>
  <c r="AD188" i="1"/>
  <c r="AI188" i="1"/>
  <c r="AK188" i="1"/>
  <c r="AL188" i="1"/>
  <c r="H189" i="1"/>
  <c r="K189" i="1"/>
  <c r="R189" i="1"/>
  <c r="U189" i="1"/>
  <c r="X189" i="1"/>
  <c r="AD189" i="1"/>
  <c r="AI189" i="1"/>
  <c r="AK189" i="1"/>
  <c r="AL189" i="1"/>
  <c r="H190" i="1"/>
  <c r="K190" i="1"/>
  <c r="R190" i="1"/>
  <c r="U190" i="1"/>
  <c r="X190" i="1"/>
  <c r="AD190" i="1"/>
  <c r="AI190" i="1"/>
  <c r="AK190" i="1"/>
  <c r="AL190" i="1"/>
  <c r="H191" i="1"/>
  <c r="K191" i="1"/>
  <c r="R191" i="1"/>
  <c r="U191" i="1"/>
  <c r="X191" i="1"/>
  <c r="AD191" i="1"/>
  <c r="AI191" i="1"/>
  <c r="AK191" i="1"/>
  <c r="AL191" i="1"/>
  <c r="H192" i="1"/>
  <c r="K192" i="1"/>
  <c r="R192" i="1"/>
  <c r="U192" i="1"/>
  <c r="X192" i="1"/>
  <c r="AD192" i="1"/>
  <c r="H193" i="1"/>
  <c r="K193" i="1"/>
  <c r="R193" i="1"/>
  <c r="U193" i="1"/>
  <c r="X193" i="1"/>
  <c r="AD193" i="1"/>
  <c r="AI193" i="1"/>
  <c r="AK193" i="1"/>
  <c r="AL193" i="1"/>
  <c r="H194" i="1"/>
  <c r="K194" i="1"/>
  <c r="R194" i="1"/>
  <c r="U194" i="1"/>
  <c r="X194" i="1"/>
  <c r="AD194" i="1"/>
  <c r="AI194" i="1"/>
  <c r="AK194" i="1"/>
  <c r="AL194" i="1"/>
  <c r="H195" i="1"/>
  <c r="K195" i="1"/>
  <c r="R195" i="1"/>
  <c r="U195" i="1"/>
  <c r="X195" i="1"/>
  <c r="AD195" i="1"/>
  <c r="AI195" i="1"/>
  <c r="AK195" i="1"/>
  <c r="AL195" i="1"/>
  <c r="H196" i="1"/>
  <c r="K196" i="1"/>
  <c r="R196" i="1"/>
  <c r="U196" i="1"/>
  <c r="X196" i="1"/>
  <c r="AD196" i="1"/>
  <c r="AI196" i="1"/>
  <c r="AK196" i="1"/>
  <c r="AL196" i="1"/>
  <c r="H197" i="1"/>
  <c r="K197" i="1"/>
  <c r="R197" i="1"/>
  <c r="U197" i="1"/>
  <c r="X197" i="1"/>
  <c r="AD197" i="1"/>
  <c r="AI197" i="1"/>
  <c r="AK197" i="1"/>
  <c r="AL197" i="1"/>
  <c r="H198" i="1"/>
  <c r="K198" i="1"/>
  <c r="R198" i="1"/>
  <c r="U198" i="1"/>
  <c r="X198" i="1"/>
  <c r="AD198" i="1"/>
  <c r="AI198" i="1"/>
  <c r="AK198" i="1"/>
  <c r="AL198" i="1"/>
  <c r="H199" i="1"/>
  <c r="K199" i="1"/>
  <c r="R199" i="1"/>
  <c r="U199" i="1"/>
  <c r="X199" i="1"/>
  <c r="AD199" i="1"/>
  <c r="AI199" i="1"/>
  <c r="AK199" i="1"/>
  <c r="AL199" i="1"/>
  <c r="H200" i="1"/>
  <c r="K200" i="1"/>
  <c r="R200" i="1"/>
  <c r="U200" i="1"/>
  <c r="X200" i="1"/>
  <c r="AD200" i="1"/>
  <c r="AI200" i="1"/>
  <c r="AK200" i="1"/>
  <c r="AL200" i="1"/>
  <c r="H201" i="1"/>
  <c r="K201" i="1"/>
  <c r="R201" i="1"/>
  <c r="U201" i="1"/>
  <c r="X201" i="1"/>
  <c r="AD201" i="1"/>
  <c r="AI201" i="1"/>
  <c r="AK201" i="1"/>
  <c r="AL201" i="1"/>
  <c r="H202" i="1"/>
  <c r="K202" i="1"/>
  <c r="R202" i="1"/>
  <c r="U202" i="1"/>
  <c r="X202" i="1"/>
  <c r="AD202" i="1"/>
  <c r="H203" i="1"/>
  <c r="K203" i="1"/>
  <c r="R203" i="1"/>
  <c r="U203" i="1"/>
  <c r="X203" i="1"/>
  <c r="AD203" i="1"/>
  <c r="AI203" i="1"/>
  <c r="AK203" i="1"/>
  <c r="AL203" i="1"/>
  <c r="H204" i="1"/>
  <c r="K204" i="1"/>
  <c r="R204" i="1"/>
  <c r="U204" i="1"/>
  <c r="X204" i="1"/>
  <c r="AD204" i="1"/>
  <c r="AI204" i="1"/>
  <c r="AK204" i="1"/>
  <c r="AL204" i="1"/>
  <c r="H205" i="1"/>
  <c r="K205" i="1"/>
  <c r="R205" i="1"/>
  <c r="U205" i="1"/>
  <c r="X205" i="1"/>
  <c r="AD205" i="1"/>
  <c r="AI205" i="1"/>
  <c r="AK205" i="1"/>
  <c r="AL205" i="1"/>
  <c r="H206" i="1"/>
  <c r="K206" i="1"/>
  <c r="R206" i="1"/>
  <c r="U206" i="1"/>
  <c r="X206" i="1"/>
  <c r="AD206" i="1"/>
  <c r="AI206" i="1"/>
  <c r="AK206" i="1"/>
  <c r="AL206" i="1"/>
  <c r="H207" i="1"/>
  <c r="K207" i="1"/>
  <c r="R207" i="1"/>
  <c r="U207" i="1"/>
  <c r="X207" i="1"/>
  <c r="AD207" i="1"/>
  <c r="AI207" i="1"/>
  <c r="AK207" i="1"/>
  <c r="AL207" i="1"/>
  <c r="H208" i="1"/>
  <c r="K208" i="1"/>
  <c r="R208" i="1"/>
  <c r="U208" i="1"/>
  <c r="X208" i="1"/>
  <c r="AD208" i="1"/>
  <c r="AI208" i="1"/>
  <c r="AK208" i="1"/>
  <c r="AL208" i="1"/>
  <c r="H209" i="1"/>
  <c r="K209" i="1"/>
  <c r="R209" i="1"/>
  <c r="U209" i="1"/>
  <c r="X209" i="1"/>
  <c r="AD209" i="1"/>
  <c r="AI209" i="1"/>
  <c r="AK209" i="1"/>
  <c r="AL209" i="1"/>
  <c r="H210" i="1"/>
  <c r="K210" i="1"/>
  <c r="R210" i="1"/>
  <c r="U210" i="1"/>
  <c r="X210" i="1"/>
  <c r="AD210" i="1"/>
  <c r="AI210" i="1"/>
  <c r="AK210" i="1"/>
  <c r="AL210" i="1"/>
  <c r="H211" i="1"/>
  <c r="K211" i="1"/>
  <c r="R211" i="1"/>
  <c r="U211" i="1"/>
  <c r="X211" i="1"/>
  <c r="AD211" i="1"/>
  <c r="AI211" i="1"/>
  <c r="AK211" i="1"/>
  <c r="AL211" i="1"/>
  <c r="H212" i="1"/>
  <c r="K212" i="1"/>
  <c r="R212" i="1"/>
  <c r="U212" i="1"/>
  <c r="X212" i="1"/>
  <c r="AD212" i="1"/>
  <c r="H213" i="1"/>
  <c r="K213" i="1"/>
  <c r="R213" i="1"/>
  <c r="U213" i="1"/>
  <c r="X213" i="1"/>
  <c r="AD213" i="1"/>
  <c r="AI213" i="1"/>
  <c r="AK213" i="1"/>
  <c r="AL213" i="1"/>
  <c r="H214" i="1"/>
  <c r="K214" i="1"/>
  <c r="R214" i="1"/>
  <c r="U214" i="1"/>
  <c r="X214" i="1"/>
  <c r="AD214" i="1"/>
  <c r="AI214" i="1"/>
  <c r="AK214" i="1"/>
  <c r="AL214" i="1"/>
  <c r="H215" i="1"/>
  <c r="K215" i="1"/>
  <c r="R215" i="1"/>
  <c r="U215" i="1"/>
  <c r="X215" i="1"/>
  <c r="AD215" i="1"/>
  <c r="AI215" i="1"/>
  <c r="AK215" i="1"/>
  <c r="AL215" i="1"/>
  <c r="H216" i="1"/>
  <c r="K216" i="1"/>
  <c r="R216" i="1"/>
  <c r="U216" i="1"/>
  <c r="X216" i="1"/>
  <c r="AD216" i="1"/>
  <c r="AI216" i="1"/>
  <c r="AK216" i="1"/>
  <c r="AL216" i="1"/>
  <c r="H217" i="1"/>
  <c r="K217" i="1"/>
  <c r="R217" i="1"/>
  <c r="U217" i="1"/>
  <c r="X217" i="1"/>
  <c r="AD217" i="1"/>
  <c r="AI217" i="1"/>
  <c r="AK217" i="1"/>
  <c r="AL217" i="1"/>
  <c r="H218" i="1"/>
  <c r="K218" i="1"/>
  <c r="R218" i="1"/>
  <c r="U218" i="1"/>
  <c r="X218" i="1"/>
  <c r="AD218" i="1"/>
  <c r="AI218" i="1"/>
  <c r="AK218" i="1"/>
  <c r="AL218" i="1"/>
  <c r="H219" i="1"/>
  <c r="K219" i="1"/>
  <c r="R219" i="1"/>
  <c r="U219" i="1"/>
  <c r="X219" i="1"/>
  <c r="AD219" i="1"/>
  <c r="AI219" i="1"/>
  <c r="AK219" i="1"/>
  <c r="AL219" i="1"/>
  <c r="H220" i="1"/>
  <c r="K220" i="1"/>
  <c r="R220" i="1"/>
  <c r="U220" i="1"/>
  <c r="X220" i="1"/>
  <c r="AD220" i="1"/>
  <c r="AI220" i="1"/>
  <c r="AK220" i="1"/>
  <c r="AL220" i="1"/>
  <c r="H221" i="1"/>
  <c r="K221" i="1"/>
  <c r="R221" i="1"/>
  <c r="U221" i="1"/>
  <c r="X221" i="1"/>
  <c r="AD221" i="1"/>
  <c r="AI221" i="1"/>
  <c r="AK221" i="1"/>
  <c r="AL221" i="1"/>
  <c r="H222" i="1"/>
  <c r="K222" i="1"/>
  <c r="R222" i="1"/>
  <c r="U222" i="1"/>
  <c r="X222" i="1"/>
  <c r="AD222" i="1"/>
  <c r="H223" i="1"/>
  <c r="K223" i="1"/>
  <c r="R223" i="1"/>
  <c r="U223" i="1"/>
  <c r="X223" i="1"/>
  <c r="AD223" i="1"/>
  <c r="AI223" i="1"/>
  <c r="AK223" i="1"/>
  <c r="AL223" i="1"/>
  <c r="H224" i="1"/>
  <c r="K224" i="1"/>
  <c r="R224" i="1"/>
  <c r="U224" i="1"/>
  <c r="X224" i="1"/>
  <c r="AD224" i="1"/>
  <c r="AI224" i="1"/>
  <c r="AK224" i="1"/>
  <c r="AL224" i="1"/>
  <c r="H225" i="1"/>
  <c r="K225" i="1"/>
  <c r="R225" i="1"/>
  <c r="U225" i="1"/>
  <c r="X225" i="1"/>
  <c r="AD225" i="1"/>
  <c r="AI225" i="1"/>
  <c r="AK225" i="1"/>
  <c r="AL225" i="1"/>
  <c r="H226" i="1"/>
  <c r="K226" i="1"/>
  <c r="R226" i="1"/>
  <c r="U226" i="1"/>
  <c r="X226" i="1"/>
  <c r="AD226" i="1"/>
  <c r="AI226" i="1"/>
  <c r="AK226" i="1"/>
  <c r="AL226" i="1"/>
  <c r="H227" i="1"/>
  <c r="K227" i="1"/>
  <c r="R227" i="1"/>
  <c r="U227" i="1"/>
  <c r="X227" i="1"/>
  <c r="AD227" i="1"/>
  <c r="AI227" i="1"/>
  <c r="AK227" i="1"/>
  <c r="AL227" i="1"/>
  <c r="H228" i="1"/>
  <c r="K228" i="1"/>
  <c r="R228" i="1"/>
  <c r="U228" i="1"/>
  <c r="X228" i="1"/>
  <c r="AD228" i="1"/>
  <c r="AI228" i="1"/>
  <c r="AK228" i="1"/>
  <c r="AL228" i="1"/>
  <c r="H229" i="1"/>
  <c r="K229" i="1"/>
  <c r="R229" i="1"/>
  <c r="U229" i="1"/>
  <c r="X229" i="1"/>
  <c r="AD229" i="1"/>
  <c r="AI229" i="1"/>
  <c r="AK229" i="1"/>
  <c r="AL229" i="1"/>
  <c r="H230" i="1"/>
  <c r="K230" i="1"/>
  <c r="R230" i="1"/>
  <c r="U230" i="1"/>
  <c r="X230" i="1"/>
  <c r="AD230" i="1"/>
  <c r="AI230" i="1"/>
  <c r="AK230" i="1"/>
  <c r="AL230" i="1"/>
  <c r="H231" i="1"/>
  <c r="K231" i="1"/>
  <c r="R231" i="1"/>
  <c r="U231" i="1"/>
  <c r="X231" i="1"/>
  <c r="AD231" i="1"/>
  <c r="AI231" i="1"/>
  <c r="AK231" i="1"/>
  <c r="AL231" i="1"/>
  <c r="H232" i="1"/>
  <c r="K232" i="1"/>
  <c r="R232" i="1"/>
  <c r="U232" i="1"/>
  <c r="X232" i="1"/>
  <c r="AD232" i="1"/>
  <c r="H233" i="1"/>
  <c r="K233" i="1"/>
  <c r="R233" i="1"/>
  <c r="U233" i="1"/>
  <c r="X233" i="1"/>
  <c r="AD233" i="1"/>
  <c r="AI233" i="1"/>
  <c r="AK233" i="1"/>
  <c r="AL233" i="1"/>
  <c r="H234" i="1"/>
  <c r="K234" i="1"/>
  <c r="R234" i="1"/>
  <c r="U234" i="1"/>
  <c r="X234" i="1"/>
  <c r="AD234" i="1"/>
  <c r="AI234" i="1"/>
  <c r="AK234" i="1"/>
  <c r="AL234" i="1"/>
  <c r="H235" i="1"/>
  <c r="K235" i="1"/>
  <c r="R235" i="1"/>
  <c r="U235" i="1"/>
  <c r="X235" i="1"/>
  <c r="AD235" i="1"/>
  <c r="AI235" i="1"/>
  <c r="AK235" i="1"/>
  <c r="AL235" i="1"/>
  <c r="H236" i="1"/>
  <c r="K236" i="1"/>
  <c r="R236" i="1"/>
  <c r="U236" i="1"/>
  <c r="X236" i="1"/>
  <c r="AD236" i="1"/>
  <c r="AI236" i="1"/>
  <c r="AK236" i="1"/>
  <c r="AL236" i="1"/>
  <c r="H237" i="1"/>
  <c r="K237" i="1"/>
  <c r="R237" i="1"/>
  <c r="U237" i="1"/>
  <c r="X237" i="1"/>
  <c r="AD237" i="1"/>
  <c r="AI237" i="1"/>
  <c r="AK237" i="1"/>
  <c r="AL237" i="1"/>
  <c r="H238" i="1"/>
  <c r="K238" i="1"/>
  <c r="R238" i="1"/>
  <c r="U238" i="1"/>
  <c r="X238" i="1"/>
  <c r="AD238" i="1"/>
  <c r="AI238" i="1"/>
  <c r="AK238" i="1"/>
  <c r="AL238" i="1"/>
  <c r="H239" i="1"/>
  <c r="K239" i="1"/>
  <c r="R239" i="1"/>
  <c r="U239" i="1"/>
  <c r="X239" i="1"/>
  <c r="AD239" i="1"/>
  <c r="AI239" i="1"/>
  <c r="AK239" i="1"/>
  <c r="AL239" i="1"/>
  <c r="H240" i="1"/>
  <c r="K240" i="1"/>
  <c r="R240" i="1"/>
  <c r="U240" i="1"/>
  <c r="X240" i="1"/>
  <c r="AD240" i="1"/>
  <c r="AI240" i="1"/>
  <c r="AK240" i="1"/>
  <c r="AL240" i="1"/>
  <c r="H241" i="1"/>
  <c r="K241" i="1"/>
  <c r="R241" i="1"/>
  <c r="U241" i="1"/>
  <c r="X241" i="1"/>
  <c r="AD241" i="1"/>
  <c r="AI241" i="1"/>
  <c r="AK241" i="1"/>
  <c r="AL241" i="1"/>
  <c r="H242" i="1"/>
  <c r="K242" i="1"/>
  <c r="R242" i="1"/>
  <c r="U242" i="1"/>
  <c r="X242" i="1"/>
  <c r="AD242" i="1"/>
  <c r="H243" i="1"/>
  <c r="K243" i="1"/>
  <c r="R243" i="1"/>
  <c r="U243" i="1"/>
  <c r="X243" i="1"/>
  <c r="AD243" i="1"/>
  <c r="AI243" i="1"/>
  <c r="AK243" i="1"/>
  <c r="AL243" i="1"/>
  <c r="H244" i="1"/>
  <c r="K244" i="1"/>
  <c r="R244" i="1"/>
  <c r="U244" i="1"/>
  <c r="X244" i="1"/>
  <c r="AD244" i="1"/>
  <c r="AI244" i="1"/>
  <c r="AK244" i="1"/>
  <c r="AL244" i="1"/>
  <c r="H245" i="1"/>
  <c r="K245" i="1"/>
  <c r="R245" i="1"/>
  <c r="U245" i="1"/>
  <c r="X245" i="1"/>
  <c r="AD245" i="1"/>
  <c r="AI245" i="1"/>
  <c r="AK245" i="1"/>
  <c r="AL245" i="1"/>
  <c r="H246" i="1"/>
  <c r="K246" i="1"/>
  <c r="R246" i="1"/>
  <c r="U246" i="1"/>
  <c r="X246" i="1"/>
  <c r="AD246" i="1"/>
  <c r="AI246" i="1"/>
  <c r="AK246" i="1"/>
  <c r="AL246" i="1"/>
  <c r="H247" i="1"/>
  <c r="K247" i="1"/>
  <c r="R247" i="1"/>
  <c r="U247" i="1"/>
  <c r="X247" i="1"/>
  <c r="AD247" i="1"/>
  <c r="AI247" i="1"/>
  <c r="AK247" i="1"/>
  <c r="AL247" i="1"/>
  <c r="H248" i="1"/>
  <c r="K248" i="1"/>
  <c r="R248" i="1"/>
  <c r="U248" i="1"/>
  <c r="X248" i="1"/>
  <c r="AD248" i="1"/>
  <c r="AI248" i="1"/>
  <c r="AK248" i="1"/>
  <c r="AL248" i="1"/>
  <c r="H249" i="1"/>
  <c r="K249" i="1"/>
  <c r="R249" i="1"/>
  <c r="U249" i="1"/>
  <c r="X249" i="1"/>
  <c r="AD249" i="1"/>
  <c r="AI249" i="1"/>
  <c r="AK249" i="1"/>
  <c r="AL249" i="1"/>
  <c r="H250" i="1"/>
  <c r="K250" i="1"/>
  <c r="R250" i="1"/>
  <c r="U250" i="1"/>
  <c r="X250" i="1"/>
  <c r="AD250" i="1"/>
  <c r="AI250" i="1"/>
  <c r="AK250" i="1"/>
  <c r="AL250" i="1"/>
  <c r="H251" i="1"/>
  <c r="K251" i="1"/>
  <c r="R251" i="1"/>
  <c r="U251" i="1"/>
  <c r="X251" i="1"/>
  <c r="AD251" i="1"/>
  <c r="AI251" i="1"/>
  <c r="AK251" i="1"/>
  <c r="AL251" i="1"/>
  <c r="H252" i="1"/>
  <c r="K252" i="1"/>
  <c r="R252" i="1"/>
  <c r="U252" i="1"/>
  <c r="X252" i="1"/>
  <c r="AD252" i="1"/>
  <c r="H253" i="1"/>
  <c r="K253" i="1"/>
  <c r="R253" i="1"/>
  <c r="U253" i="1"/>
  <c r="X253" i="1"/>
  <c r="AD253" i="1"/>
  <c r="AI253" i="1"/>
  <c r="AK253" i="1"/>
  <c r="AL253" i="1"/>
  <c r="H254" i="1"/>
  <c r="K254" i="1"/>
  <c r="R254" i="1"/>
  <c r="U254" i="1"/>
  <c r="X254" i="1"/>
  <c r="AD254" i="1"/>
  <c r="AI254" i="1"/>
  <c r="AK254" i="1"/>
  <c r="AL254" i="1"/>
  <c r="H255" i="1"/>
  <c r="K255" i="1"/>
  <c r="R255" i="1"/>
  <c r="U255" i="1"/>
  <c r="X255" i="1"/>
  <c r="AD255" i="1"/>
  <c r="AI255" i="1"/>
  <c r="AK255" i="1"/>
  <c r="AL255" i="1"/>
  <c r="H256" i="1"/>
  <c r="K256" i="1"/>
  <c r="R256" i="1"/>
  <c r="U256" i="1"/>
  <c r="X256" i="1"/>
  <c r="AD256" i="1"/>
  <c r="AI256" i="1"/>
  <c r="AK256" i="1"/>
  <c r="AL256" i="1"/>
  <c r="H257" i="1"/>
  <c r="K257" i="1"/>
  <c r="R257" i="1"/>
  <c r="U257" i="1"/>
  <c r="X257" i="1"/>
  <c r="AD257" i="1"/>
  <c r="AI257" i="1"/>
  <c r="AK257" i="1"/>
  <c r="AL257" i="1"/>
  <c r="H258" i="1"/>
  <c r="K258" i="1"/>
  <c r="R258" i="1"/>
  <c r="U258" i="1"/>
  <c r="X258" i="1"/>
  <c r="AD258" i="1"/>
  <c r="AI258" i="1"/>
  <c r="AK258" i="1"/>
  <c r="AL258" i="1"/>
  <c r="H259" i="1"/>
  <c r="K259" i="1"/>
  <c r="R259" i="1"/>
  <c r="U259" i="1"/>
  <c r="X259" i="1"/>
  <c r="AD259" i="1"/>
  <c r="AI259" i="1"/>
  <c r="AK259" i="1"/>
  <c r="AL259" i="1"/>
  <c r="H260" i="1"/>
  <c r="K260" i="1"/>
  <c r="R260" i="1"/>
  <c r="U260" i="1"/>
  <c r="X260" i="1"/>
  <c r="AD260" i="1"/>
  <c r="AI260" i="1"/>
  <c r="AK260" i="1"/>
  <c r="AL260" i="1"/>
  <c r="H261" i="1"/>
  <c r="K261" i="1"/>
  <c r="R261" i="1"/>
  <c r="U261" i="1"/>
  <c r="X261" i="1"/>
  <c r="AD261" i="1"/>
  <c r="AI261" i="1"/>
  <c r="AK261" i="1"/>
  <c r="AL261" i="1"/>
  <c r="AJ95" i="1" l="1"/>
  <c r="L255" i="1"/>
  <c r="L252" i="1"/>
  <c r="L150" i="1"/>
  <c r="L117" i="1"/>
  <c r="L73" i="1"/>
  <c r="L48" i="1"/>
  <c r="L251" i="1"/>
  <c r="L229" i="1"/>
  <c r="L25" i="1"/>
  <c r="L22" i="1"/>
  <c r="L7" i="1"/>
  <c r="L239" i="1"/>
  <c r="L228" i="1"/>
  <c r="L206" i="1"/>
  <c r="L173" i="1"/>
  <c r="L170" i="1"/>
  <c r="L259" i="1"/>
  <c r="L237" i="1"/>
  <c r="L212" i="1"/>
  <c r="L201" i="1"/>
  <c r="L179" i="1"/>
  <c r="L168" i="1"/>
  <c r="L132" i="1"/>
  <c r="L124" i="1"/>
  <c r="L113" i="1"/>
  <c r="L88" i="1"/>
  <c r="L52" i="1"/>
  <c r="L44" i="1"/>
  <c r="L41" i="1"/>
  <c r="L30" i="1"/>
  <c r="L257" i="1"/>
  <c r="L246" i="1"/>
  <c r="L235" i="1"/>
  <c r="L232" i="1"/>
  <c r="L224" i="1"/>
  <c r="L221" i="1"/>
  <c r="L213" i="1"/>
  <c r="L199" i="1"/>
  <c r="L188" i="1"/>
  <c r="L177" i="1"/>
  <c r="L166" i="1"/>
  <c r="L155" i="1"/>
  <c r="L152" i="1"/>
  <c r="L144" i="1"/>
  <c r="L141" i="1"/>
  <c r="L133" i="1"/>
  <c r="L119" i="1"/>
  <c r="L108" i="1"/>
  <c r="L97" i="1"/>
  <c r="L86" i="1"/>
  <c r="L75" i="1"/>
  <c r="AJ73" i="1"/>
  <c r="L64" i="1"/>
  <c r="L61" i="1"/>
  <c r="L53" i="1"/>
  <c r="L39" i="1"/>
  <c r="L28" i="1"/>
  <c r="L17" i="1"/>
  <c r="L244" i="1"/>
  <c r="L208" i="1"/>
  <c r="L197" i="1"/>
  <c r="L161" i="1"/>
  <c r="L139" i="1"/>
  <c r="L128" i="1"/>
  <c r="L70" i="1"/>
  <c r="L171" i="1"/>
  <c r="L94" i="1"/>
  <c r="L69" i="1"/>
  <c r="L47" i="1"/>
  <c r="L14" i="1"/>
  <c r="L261" i="1"/>
  <c r="L181" i="1"/>
  <c r="L137" i="1"/>
  <c r="L126" i="1"/>
  <c r="L104" i="1"/>
  <c r="L248" i="1"/>
  <c r="L204" i="1"/>
  <c r="L157" i="1"/>
  <c r="L110" i="1"/>
  <c r="L77" i="1"/>
  <c r="L55" i="1"/>
  <c r="L33" i="1"/>
  <c r="L19" i="1"/>
  <c r="L256" i="1"/>
  <c r="L245" i="1"/>
  <c r="L231" i="1"/>
  <c r="L223" i="1"/>
  <c r="L220" i="1"/>
  <c r="L209" i="1"/>
  <c r="L198" i="1"/>
  <c r="L187" i="1"/>
  <c r="L176" i="1"/>
  <c r="L165" i="1"/>
  <c r="L151" i="1"/>
  <c r="L143" i="1"/>
  <c r="L140" i="1"/>
  <c r="L129" i="1"/>
  <c r="L118" i="1"/>
  <c r="L107" i="1"/>
  <c r="L96" i="1"/>
  <c r="L85" i="1"/>
  <c r="L71" i="1"/>
  <c r="L63" i="1"/>
  <c r="L60" i="1"/>
  <c r="L49" i="1"/>
  <c r="L38" i="1"/>
  <c r="L27" i="1"/>
  <c r="L16" i="1"/>
  <c r="L8" i="1"/>
  <c r="L4" i="1"/>
  <c r="L2" i="1"/>
  <c r="L230" i="1"/>
  <c r="L164" i="1"/>
  <c r="L59" i="1"/>
  <c r="L37" i="1"/>
  <c r="L15" i="1"/>
  <c r="L12" i="1"/>
  <c r="L233" i="1"/>
  <c r="L153" i="1"/>
  <c r="L92" i="1"/>
  <c r="L254" i="1"/>
  <c r="L243" i="1"/>
  <c r="L105" i="1"/>
  <c r="L84" i="1"/>
  <c r="L240" i="1"/>
  <c r="L207" i="1"/>
  <c r="L163" i="1"/>
  <c r="L127" i="1"/>
  <c r="L217" i="1"/>
  <c r="L172" i="1"/>
  <c r="L196" i="1"/>
  <c r="L149" i="1"/>
  <c r="L116" i="1"/>
  <c r="L83" i="1"/>
  <c r="L80" i="1"/>
  <c r="L3" i="1"/>
  <c r="L253" i="1"/>
  <c r="L195" i="1"/>
  <c r="L192" i="1"/>
  <c r="L184" i="1"/>
  <c r="L159" i="1"/>
  <c r="L115" i="1"/>
  <c r="L112" i="1"/>
  <c r="L101" i="1"/>
  <c r="L90" i="1"/>
  <c r="L57" i="1"/>
  <c r="L46" i="1"/>
  <c r="L35" i="1"/>
  <c r="L32" i="1"/>
  <c r="L24" i="1"/>
  <c r="L21" i="1"/>
  <c r="L13" i="1"/>
  <c r="L11" i="1"/>
  <c r="L260" i="1"/>
  <c r="L249" i="1"/>
  <c r="L238" i="1"/>
  <c r="L227" i="1"/>
  <c r="L216" i="1"/>
  <c r="L205" i="1"/>
  <c r="L191" i="1"/>
  <c r="L183" i="1"/>
  <c r="L180" i="1"/>
  <c r="L169" i="1"/>
  <c r="L158" i="1"/>
  <c r="L147" i="1"/>
  <c r="L136" i="1"/>
  <c r="L125" i="1"/>
  <c r="L111" i="1"/>
  <c r="L103" i="1"/>
  <c r="L100" i="1"/>
  <c r="L89" i="1"/>
  <c r="L78" i="1"/>
  <c r="L67" i="1"/>
  <c r="L56" i="1"/>
  <c r="L45" i="1"/>
  <c r="L31" i="1"/>
  <c r="L23" i="1"/>
  <c r="L20" i="1"/>
  <c r="L6" i="1"/>
  <c r="L175" i="1"/>
  <c r="L81" i="1"/>
  <c r="L215" i="1"/>
  <c r="L135" i="1"/>
  <c r="L241" i="1"/>
  <c r="L219" i="1"/>
  <c r="L185" i="1"/>
  <c r="L182" i="1"/>
  <c r="L174" i="1"/>
  <c r="L160" i="1"/>
  <c r="L102" i="1"/>
  <c r="L91" i="1"/>
  <c r="L36" i="1"/>
  <c r="L250" i="1"/>
  <c r="L148" i="1"/>
  <c r="L93" i="1"/>
  <c r="L79" i="1"/>
  <c r="L68" i="1"/>
  <c r="L193" i="1"/>
  <c r="L190" i="1"/>
  <c r="L121" i="1"/>
  <c r="L99" i="1"/>
  <c r="L247" i="1"/>
  <c r="L236" i="1"/>
  <c r="L225" i="1"/>
  <c r="L222" i="1"/>
  <c r="L214" i="1"/>
  <c r="L211" i="1"/>
  <c r="L203" i="1"/>
  <c r="L200" i="1"/>
  <c r="L189" i="1"/>
  <c r="L167" i="1"/>
  <c r="L156" i="1"/>
  <c r="L145" i="1"/>
  <c r="L142" i="1"/>
  <c r="L134" i="1"/>
  <c r="L131" i="1"/>
  <c r="L123" i="1"/>
  <c r="L120" i="1"/>
  <c r="L109" i="1"/>
  <c r="L87" i="1"/>
  <c r="L76" i="1"/>
  <c r="L65" i="1"/>
  <c r="L62" i="1"/>
  <c r="L54" i="1"/>
  <c r="L51" i="1"/>
  <c r="L43" i="1"/>
  <c r="L40" i="1"/>
  <c r="L29" i="1"/>
  <c r="L9" i="1"/>
  <c r="L5" i="1"/>
  <c r="L258" i="1"/>
  <c r="L226" i="1"/>
  <c r="L202" i="1"/>
  <c r="L178" i="1"/>
  <c r="L154" i="1"/>
  <c r="L130" i="1"/>
  <c r="L106" i="1"/>
  <c r="L34" i="1"/>
  <c r="L242" i="1"/>
  <c r="L218" i="1"/>
  <c r="L194" i="1"/>
  <c r="L138" i="1"/>
  <c r="L26" i="1"/>
  <c r="L72" i="1"/>
  <c r="L234" i="1"/>
  <c r="L210" i="1"/>
  <c r="L186" i="1"/>
  <c r="L162" i="1"/>
  <c r="L146" i="1"/>
  <c r="L122" i="1"/>
  <c r="L114" i="1"/>
  <c r="L98" i="1"/>
  <c r="L82" i="1"/>
  <c r="L74" i="1"/>
  <c r="L66" i="1"/>
  <c r="L18" i="1"/>
  <c r="L95" i="1"/>
  <c r="L10" i="1"/>
  <c r="L58" i="1"/>
  <c r="L50" i="1"/>
  <c r="L42" i="1"/>
  <c r="AJ249" i="1"/>
  <c r="AJ228" i="1"/>
  <c r="AJ217" i="1"/>
  <c r="AJ113" i="1"/>
  <c r="AJ133" i="1"/>
  <c r="AJ165" i="1"/>
  <c r="AJ85" i="1"/>
  <c r="AJ83" i="1"/>
  <c r="AJ45" i="1"/>
  <c r="AJ248" i="1"/>
  <c r="AJ201" i="1"/>
  <c r="AJ119" i="1"/>
  <c r="AJ50" i="1"/>
  <c r="AJ254" i="1"/>
  <c r="AJ251" i="1"/>
  <c r="AJ244" i="1"/>
  <c r="AJ241" i="1"/>
  <c r="AJ186" i="1"/>
  <c r="AJ175" i="1"/>
  <c r="AJ38" i="1"/>
  <c r="AJ261" i="1"/>
  <c r="AJ196" i="1"/>
  <c r="AJ160" i="1"/>
  <c r="AJ149" i="1"/>
  <c r="AJ79" i="1"/>
  <c r="AJ13" i="1"/>
  <c r="AJ235" i="1"/>
  <c r="AJ180" i="1"/>
  <c r="AJ214" i="1"/>
  <c r="AJ211" i="1"/>
  <c r="AJ167" i="1"/>
  <c r="AJ40" i="1"/>
  <c r="AJ210" i="1"/>
  <c r="AJ16" i="1"/>
  <c r="AJ233" i="1"/>
  <c r="AJ11" i="1"/>
  <c r="AJ111" i="1"/>
  <c r="AJ55" i="1"/>
  <c r="AJ44" i="1"/>
  <c r="AJ41" i="1"/>
  <c r="AJ28" i="1"/>
  <c r="AJ97" i="1"/>
  <c r="T3" i="1"/>
  <c r="AJ164" i="1"/>
  <c r="AJ139" i="1"/>
  <c r="AJ80" i="1"/>
  <c r="AJ243" i="1"/>
  <c r="AJ104" i="1"/>
  <c r="AJ101" i="1"/>
  <c r="AJ57" i="1"/>
  <c r="AJ225" i="1"/>
  <c r="AJ125" i="1"/>
  <c r="AJ121" i="1"/>
  <c r="AJ89" i="1"/>
  <c r="AJ68" i="1"/>
  <c r="AJ8" i="1"/>
  <c r="AJ4" i="1"/>
  <c r="AJ255" i="1"/>
  <c r="AJ245" i="1"/>
  <c r="AJ198" i="1"/>
  <c r="AJ120" i="1"/>
  <c r="AJ67" i="1"/>
  <c r="AJ56" i="1"/>
  <c r="AJ26" i="1"/>
  <c r="AJ140" i="1"/>
  <c r="AJ76" i="1"/>
  <c r="AJ24" i="1"/>
  <c r="AJ173" i="1"/>
  <c r="AJ260" i="1"/>
  <c r="AJ238" i="1"/>
  <c r="AJ227" i="1"/>
  <c r="AJ203" i="1"/>
  <c r="AJ169" i="1"/>
  <c r="AJ159" i="1"/>
  <c r="AJ137" i="1"/>
  <c r="AJ81" i="1"/>
  <c r="AJ75" i="1"/>
  <c r="AJ60" i="1"/>
  <c r="AJ43" i="1"/>
  <c r="AJ29" i="1"/>
  <c r="AJ204" i="1"/>
  <c r="AJ193" i="1"/>
  <c r="AJ105" i="1"/>
  <c r="AJ103" i="1"/>
  <c r="AJ91" i="1"/>
  <c r="AJ187" i="1"/>
  <c r="AJ257" i="1"/>
  <c r="AJ239" i="1"/>
  <c r="AJ229" i="1"/>
  <c r="AJ191" i="1"/>
  <c r="AJ146" i="1"/>
  <c r="AJ138" i="1"/>
  <c r="AJ110" i="1"/>
  <c r="AJ109" i="1"/>
  <c r="AJ74" i="1"/>
  <c r="AJ71" i="1"/>
  <c r="AJ64" i="1"/>
  <c r="AJ61" i="1"/>
  <c r="AJ51" i="1"/>
  <c r="AJ10" i="1"/>
  <c r="AJ153" i="1"/>
  <c r="AJ143" i="1"/>
  <c r="AJ69" i="1"/>
  <c r="AJ209" i="1"/>
  <c r="AJ199" i="1"/>
  <c r="AJ189" i="1"/>
  <c r="AJ161" i="1"/>
  <c r="AJ141" i="1"/>
  <c r="AJ116" i="1"/>
  <c r="AJ77" i="1"/>
  <c r="AJ70" i="1"/>
  <c r="AJ35" i="1"/>
  <c r="AJ25" i="1"/>
  <c r="AJ23" i="1"/>
  <c r="AJ17" i="1"/>
  <c r="AJ15" i="1"/>
  <c r="AJ5" i="1"/>
  <c r="AJ14" i="1"/>
  <c r="AJ124" i="1"/>
  <c r="AJ86" i="1"/>
  <c r="AJ253" i="1"/>
  <c r="AJ250" i="1"/>
  <c r="AJ223" i="1"/>
  <c r="AJ213" i="1"/>
  <c r="AJ205" i="1"/>
  <c r="AJ177" i="1"/>
  <c r="AJ168" i="1"/>
  <c r="AJ114" i="1"/>
  <c r="AJ93" i="1"/>
  <c r="AJ90" i="1"/>
  <c r="AJ148" i="1"/>
  <c r="AJ99" i="1"/>
  <c r="T251" i="1"/>
  <c r="AE251" i="1" s="1"/>
  <c r="AF251" i="1" s="1"/>
  <c r="T220" i="1"/>
  <c r="AE220" i="1" s="1"/>
  <c r="AF220" i="1" s="1"/>
  <c r="T160" i="1"/>
  <c r="AE160" i="1" s="1"/>
  <c r="AF160" i="1" s="1"/>
  <c r="AJ31" i="1"/>
  <c r="AJ27" i="1"/>
  <c r="AJ3" i="1"/>
  <c r="AJ259" i="1"/>
  <c r="T170" i="1"/>
  <c r="AE170" i="1" s="1"/>
  <c r="AF170" i="1" s="1"/>
  <c r="AJ155" i="1"/>
  <c r="T242" i="1"/>
  <c r="AE242" i="1" s="1"/>
  <c r="AF242" i="1" s="1"/>
  <c r="AJ108" i="1"/>
  <c r="AJ6" i="1"/>
  <c r="AJ237" i="1"/>
  <c r="AJ185" i="1"/>
  <c r="T175" i="1"/>
  <c r="AE175" i="1" s="1"/>
  <c r="AF175" i="1" s="1"/>
  <c r="AJ123" i="1"/>
  <c r="AJ115" i="1"/>
  <c r="AJ106" i="1"/>
  <c r="AJ98" i="1"/>
  <c r="T110" i="1"/>
  <c r="AE110" i="1" s="1"/>
  <c r="AF110" i="1" s="1"/>
  <c r="AJ88" i="1"/>
  <c r="AJ84" i="1"/>
  <c r="AJ54" i="1"/>
  <c r="AJ20" i="1"/>
  <c r="AJ9" i="1"/>
  <c r="AJ247" i="1"/>
  <c r="T245" i="1"/>
  <c r="AE245" i="1" s="1"/>
  <c r="AF245" i="1" s="1"/>
  <c r="T226" i="1"/>
  <c r="AE226" i="1" s="1"/>
  <c r="AF226" i="1" s="1"/>
  <c r="T257" i="1"/>
  <c r="AE257" i="1" s="1"/>
  <c r="AF257" i="1" s="1"/>
  <c r="T184" i="1"/>
  <c r="AE184" i="1" s="1"/>
  <c r="AF184" i="1" s="1"/>
  <c r="T243" i="1"/>
  <c r="AE243" i="1" s="1"/>
  <c r="AF243" i="1" s="1"/>
  <c r="T227" i="1"/>
  <c r="AE227" i="1" s="1"/>
  <c r="AF227" i="1" s="1"/>
  <c r="T203" i="1"/>
  <c r="AE203" i="1" s="1"/>
  <c r="AF203" i="1" s="1"/>
  <c r="T218" i="1"/>
  <c r="AE218" i="1" s="1"/>
  <c r="AF218" i="1" s="1"/>
  <c r="AJ188" i="1"/>
  <c r="AJ183" i="1"/>
  <c r="T177" i="1"/>
  <c r="AE177" i="1" s="1"/>
  <c r="AF177" i="1" s="1"/>
  <c r="AJ176" i="1"/>
  <c r="AJ166" i="1"/>
  <c r="AJ154" i="1"/>
  <c r="AJ151" i="1"/>
  <c r="AJ136" i="1"/>
  <c r="AJ127" i="1"/>
  <c r="AJ107" i="1"/>
  <c r="T101" i="1"/>
  <c r="AE101" i="1" s="1"/>
  <c r="AF101" i="1" s="1"/>
  <c r="AJ53" i="1"/>
  <c r="T252" i="1"/>
  <c r="AE252" i="1" s="1"/>
  <c r="AF252" i="1" s="1"/>
  <c r="AJ221" i="1"/>
  <c r="T211" i="1"/>
  <c r="AE211" i="1" s="1"/>
  <c r="AF211" i="1" s="1"/>
  <c r="AJ220" i="1"/>
  <c r="AJ256" i="1"/>
  <c r="T255" i="1"/>
  <c r="AE255" i="1" s="1"/>
  <c r="AF255" i="1" s="1"/>
  <c r="AJ219" i="1"/>
  <c r="T217" i="1"/>
  <c r="AE217" i="1" s="1"/>
  <c r="AF217" i="1" s="1"/>
  <c r="T208" i="1"/>
  <c r="AE208" i="1" s="1"/>
  <c r="AF208" i="1" s="1"/>
  <c r="AJ197" i="1"/>
  <c r="T187" i="1"/>
  <c r="AE187" i="1" s="1"/>
  <c r="AF187" i="1" s="1"/>
  <c r="AJ184" i="1"/>
  <c r="AJ181" i="1"/>
  <c r="T238" i="1"/>
  <c r="AE238" i="1" s="1"/>
  <c r="AF238" i="1" s="1"/>
  <c r="AJ158" i="1"/>
  <c r="AJ134" i="1"/>
  <c r="AJ39" i="1"/>
  <c r="AJ19" i="1"/>
  <c r="AJ240" i="1"/>
  <c r="AJ226" i="1"/>
  <c r="T222" i="1"/>
  <c r="AE222" i="1" s="1"/>
  <c r="AF222" i="1" s="1"/>
  <c r="AJ200" i="1"/>
  <c r="AJ195" i="1"/>
  <c r="T189" i="1"/>
  <c r="AE189" i="1" s="1"/>
  <c r="AF189" i="1" s="1"/>
  <c r="AJ179" i="1"/>
  <c r="T173" i="1"/>
  <c r="AE173" i="1" s="1"/>
  <c r="AF173" i="1" s="1"/>
  <c r="AJ171" i="1"/>
  <c r="AJ150" i="1"/>
  <c r="AJ135" i="1"/>
  <c r="AJ131" i="1"/>
  <c r="AJ126" i="1"/>
  <c r="T122" i="1"/>
  <c r="AE122" i="1" s="1"/>
  <c r="AF122" i="1" s="1"/>
  <c r="AJ100" i="1"/>
  <c r="AJ96" i="1"/>
  <c r="AJ87" i="1"/>
  <c r="AJ49" i="1"/>
  <c r="AJ36" i="1"/>
  <c r="T259" i="1"/>
  <c r="AE259" i="1" s="1"/>
  <c r="AF259" i="1" s="1"/>
  <c r="T239" i="1"/>
  <c r="AE239" i="1" s="1"/>
  <c r="AF239" i="1" s="1"/>
  <c r="T233" i="1"/>
  <c r="AE233" i="1" s="1"/>
  <c r="AF233" i="1" s="1"/>
  <c r="AJ231" i="1"/>
  <c r="AJ216" i="1"/>
  <c r="AJ207" i="1"/>
  <c r="T199" i="1"/>
  <c r="AE199" i="1" s="1"/>
  <c r="AF199" i="1" s="1"/>
  <c r="AJ156" i="1"/>
  <c r="AJ130" i="1"/>
  <c r="AJ117" i="1"/>
  <c r="AJ94" i="1"/>
  <c r="AJ65" i="1"/>
  <c r="AJ63" i="1"/>
  <c r="AJ48" i="1"/>
  <c r="AJ33" i="1"/>
  <c r="T246" i="1"/>
  <c r="AE246" i="1" s="1"/>
  <c r="AF246" i="1" s="1"/>
  <c r="T225" i="1"/>
  <c r="AE225" i="1" s="1"/>
  <c r="AF225" i="1" s="1"/>
  <c r="AJ194" i="1"/>
  <c r="AJ190" i="1"/>
  <c r="AJ178" i="1"/>
  <c r="T171" i="1"/>
  <c r="AE171" i="1" s="1"/>
  <c r="AF171" i="1" s="1"/>
  <c r="T164" i="1"/>
  <c r="AE164" i="1" s="1"/>
  <c r="AF164" i="1" s="1"/>
  <c r="T162" i="1"/>
  <c r="AE162" i="1" s="1"/>
  <c r="AF162" i="1" s="1"/>
  <c r="T149" i="1"/>
  <c r="AE149" i="1" s="1"/>
  <c r="AF149" i="1" s="1"/>
  <c r="T114" i="1"/>
  <c r="AE114" i="1" s="1"/>
  <c r="AF114" i="1" s="1"/>
  <c r="T261" i="1"/>
  <c r="AE261" i="1" s="1"/>
  <c r="AF261" i="1" s="1"/>
  <c r="T249" i="1"/>
  <c r="AE249" i="1" s="1"/>
  <c r="AF249" i="1" s="1"/>
  <c r="T247" i="1"/>
  <c r="AE247" i="1" s="1"/>
  <c r="AF247" i="1" s="1"/>
  <c r="T235" i="1"/>
  <c r="AE235" i="1" s="1"/>
  <c r="AF235" i="1" s="1"/>
  <c r="T229" i="1"/>
  <c r="AE229" i="1" s="1"/>
  <c r="AF229" i="1" s="1"/>
  <c r="AJ215" i="1"/>
  <c r="T205" i="1"/>
  <c r="AE205" i="1" s="1"/>
  <c r="AF205" i="1" s="1"/>
  <c r="T196" i="1"/>
  <c r="AE196" i="1" s="1"/>
  <c r="AF196" i="1" s="1"/>
  <c r="T192" i="1"/>
  <c r="AE192" i="1" s="1"/>
  <c r="AF192" i="1" s="1"/>
  <c r="T180" i="1"/>
  <c r="AE180" i="1" s="1"/>
  <c r="AF180" i="1" s="1"/>
  <c r="T148" i="1"/>
  <c r="AE148" i="1" s="1"/>
  <c r="AF148" i="1" s="1"/>
  <c r="T92" i="1"/>
  <c r="AE92" i="1" s="1"/>
  <c r="AF92" i="1" s="1"/>
  <c r="T228" i="1"/>
  <c r="AE228" i="1" s="1"/>
  <c r="AF228" i="1" s="1"/>
  <c r="T224" i="1"/>
  <c r="AE224" i="1" s="1"/>
  <c r="AF224" i="1" s="1"/>
  <c r="T219" i="1"/>
  <c r="AE219" i="1" s="1"/>
  <c r="AF219" i="1" s="1"/>
  <c r="T201" i="1"/>
  <c r="AE201" i="1" s="1"/>
  <c r="AF201" i="1" s="1"/>
  <c r="T193" i="1"/>
  <c r="AE193" i="1" s="1"/>
  <c r="AF193" i="1" s="1"/>
  <c r="T167" i="1"/>
  <c r="AE167" i="1" s="1"/>
  <c r="AF167" i="1" s="1"/>
  <c r="T163" i="1"/>
  <c r="AE163" i="1" s="1"/>
  <c r="AF163" i="1" s="1"/>
  <c r="T151" i="1"/>
  <c r="AE151" i="1" s="1"/>
  <c r="AF151" i="1" s="1"/>
  <c r="AJ144" i="1"/>
  <c r="AJ145" i="1"/>
  <c r="T143" i="1"/>
  <c r="AE143" i="1" s="1"/>
  <c r="AF143" i="1" s="1"/>
  <c r="T141" i="1"/>
  <c r="AE141" i="1" s="1"/>
  <c r="AF141" i="1" s="1"/>
  <c r="T138" i="1"/>
  <c r="AE138" i="1" s="1"/>
  <c r="AF138" i="1" s="1"/>
  <c r="T133" i="1"/>
  <c r="AE133" i="1" s="1"/>
  <c r="AF133" i="1" s="1"/>
  <c r="T131" i="1"/>
  <c r="AE131" i="1" s="1"/>
  <c r="AF131" i="1" s="1"/>
  <c r="T117" i="1"/>
  <c r="AE117" i="1" s="1"/>
  <c r="AF117" i="1" s="1"/>
  <c r="T93" i="1"/>
  <c r="AE93" i="1" s="1"/>
  <c r="AF93" i="1" s="1"/>
  <c r="T240" i="1"/>
  <c r="AE240" i="1" s="1"/>
  <c r="AF240" i="1" s="1"/>
  <c r="T244" i="1"/>
  <c r="AE244" i="1" s="1"/>
  <c r="AF244" i="1" s="1"/>
  <c r="T241" i="1"/>
  <c r="AE241" i="1" s="1"/>
  <c r="AF241" i="1" s="1"/>
  <c r="T234" i="1"/>
  <c r="AE234" i="1" s="1"/>
  <c r="AF234" i="1" s="1"/>
  <c r="T231" i="1"/>
  <c r="AE231" i="1" s="1"/>
  <c r="AF231" i="1" s="1"/>
  <c r="T221" i="1"/>
  <c r="AE221" i="1" s="1"/>
  <c r="AF221" i="1" s="1"/>
  <c r="T214" i="1"/>
  <c r="AE214" i="1" s="1"/>
  <c r="AF214" i="1" s="1"/>
  <c r="AJ208" i="1"/>
  <c r="T105" i="1"/>
  <c r="AE105" i="1" s="1"/>
  <c r="AF105" i="1" s="1"/>
  <c r="T96" i="1"/>
  <c r="AE96" i="1" s="1"/>
  <c r="AF96" i="1" s="1"/>
  <c r="T70" i="1"/>
  <c r="AE70" i="1" s="1"/>
  <c r="AF70" i="1" s="1"/>
  <c r="T253" i="1"/>
  <c r="AE253" i="1" s="1"/>
  <c r="AF253" i="1" s="1"/>
  <c r="T248" i="1"/>
  <c r="AE248" i="1" s="1"/>
  <c r="AF248" i="1" s="1"/>
  <c r="T172" i="1"/>
  <c r="AE172" i="1" s="1"/>
  <c r="AF172" i="1" s="1"/>
  <c r="T166" i="1"/>
  <c r="AE166" i="1" s="1"/>
  <c r="AF166" i="1" s="1"/>
  <c r="T137" i="1"/>
  <c r="AE137" i="1" s="1"/>
  <c r="AF137" i="1" s="1"/>
  <c r="T129" i="1"/>
  <c r="AE129" i="1" s="1"/>
  <c r="AF129" i="1" s="1"/>
  <c r="T125" i="1"/>
  <c r="AE125" i="1" s="1"/>
  <c r="AF125" i="1" s="1"/>
  <c r="T120" i="1"/>
  <c r="AE120" i="1" s="1"/>
  <c r="AF120" i="1" s="1"/>
  <c r="T108" i="1"/>
  <c r="AE108" i="1" s="1"/>
  <c r="AF108" i="1" s="1"/>
  <c r="T30" i="1"/>
  <c r="AE30" i="1" s="1"/>
  <c r="AF30" i="1" s="1"/>
  <c r="T250" i="1"/>
  <c r="AE250" i="1" s="1"/>
  <c r="AF250" i="1" s="1"/>
  <c r="T210" i="1"/>
  <c r="AE210" i="1" s="1"/>
  <c r="AF210" i="1" s="1"/>
  <c r="T207" i="1"/>
  <c r="AE207" i="1" s="1"/>
  <c r="AF207" i="1" s="1"/>
  <c r="T258" i="1"/>
  <c r="AE258" i="1" s="1"/>
  <c r="AF258" i="1" s="1"/>
  <c r="T256" i="1"/>
  <c r="AE256" i="1" s="1"/>
  <c r="AF256" i="1" s="1"/>
  <c r="AJ246" i="1"/>
  <c r="AJ234" i="1"/>
  <c r="T230" i="1"/>
  <c r="AE230" i="1" s="1"/>
  <c r="AF230" i="1" s="1"/>
  <c r="AJ224" i="1"/>
  <c r="T213" i="1"/>
  <c r="AE213" i="1" s="1"/>
  <c r="AF213" i="1" s="1"/>
  <c r="T206" i="1"/>
  <c r="AE206" i="1" s="1"/>
  <c r="AF206" i="1" s="1"/>
  <c r="T198" i="1"/>
  <c r="AE198" i="1" s="1"/>
  <c r="AF198" i="1" s="1"/>
  <c r="T195" i="1"/>
  <c r="AE195" i="1" s="1"/>
  <c r="AF195" i="1" s="1"/>
  <c r="T191" i="1"/>
  <c r="AE191" i="1" s="1"/>
  <c r="AF191" i="1" s="1"/>
  <c r="T186" i="1"/>
  <c r="AE186" i="1" s="1"/>
  <c r="AF186" i="1" s="1"/>
  <c r="T183" i="1"/>
  <c r="AE183" i="1" s="1"/>
  <c r="AF183" i="1" s="1"/>
  <c r="T182" i="1"/>
  <c r="AE182" i="1" s="1"/>
  <c r="AF182" i="1" s="1"/>
  <c r="T179" i="1"/>
  <c r="AE179" i="1" s="1"/>
  <c r="AF179" i="1" s="1"/>
  <c r="T176" i="1"/>
  <c r="AE176" i="1" s="1"/>
  <c r="AF176" i="1" s="1"/>
  <c r="T169" i="1"/>
  <c r="AE169" i="1" s="1"/>
  <c r="AF169" i="1" s="1"/>
  <c r="AJ163" i="1"/>
  <c r="T154" i="1"/>
  <c r="AE154" i="1" s="1"/>
  <c r="AF154" i="1" s="1"/>
  <c r="T147" i="1"/>
  <c r="AE147" i="1" s="1"/>
  <c r="AF147" i="1" s="1"/>
  <c r="T124" i="1"/>
  <c r="AE124" i="1" s="1"/>
  <c r="AF124" i="1" s="1"/>
  <c r="T155" i="1"/>
  <c r="AE155" i="1" s="1"/>
  <c r="AF155" i="1" s="1"/>
  <c r="T260" i="1"/>
  <c r="AE260" i="1" s="1"/>
  <c r="AF260" i="1" s="1"/>
  <c r="T236" i="1"/>
  <c r="AE236" i="1" s="1"/>
  <c r="AF236" i="1" s="1"/>
  <c r="T254" i="1"/>
  <c r="AE254" i="1" s="1"/>
  <c r="AF254" i="1" s="1"/>
  <c r="T232" i="1"/>
  <c r="AE232" i="1" s="1"/>
  <c r="AF232" i="1" s="1"/>
  <c r="AJ218" i="1"/>
  <c r="T215" i="1"/>
  <c r="AE215" i="1" s="1"/>
  <c r="AF215" i="1" s="1"/>
  <c r="T209" i="1"/>
  <c r="AE209" i="1" s="1"/>
  <c r="AF209" i="1" s="1"/>
  <c r="T202" i="1"/>
  <c r="AE202" i="1" s="1"/>
  <c r="AF202" i="1" s="1"/>
  <c r="T194" i="1"/>
  <c r="AE194" i="1" s="1"/>
  <c r="AF194" i="1" s="1"/>
  <c r="T190" i="1"/>
  <c r="AE190" i="1" s="1"/>
  <c r="AF190" i="1" s="1"/>
  <c r="T178" i="1"/>
  <c r="AE178" i="1" s="1"/>
  <c r="AF178" i="1" s="1"/>
  <c r="T168" i="1"/>
  <c r="AE168" i="1" s="1"/>
  <c r="AF168" i="1" s="1"/>
  <c r="T165" i="1"/>
  <c r="AE165" i="1" s="1"/>
  <c r="AF165" i="1" s="1"/>
  <c r="T157" i="1"/>
  <c r="AE157" i="1" s="1"/>
  <c r="AF157" i="1" s="1"/>
  <c r="T150" i="1"/>
  <c r="AE150" i="1" s="1"/>
  <c r="AF150" i="1" s="1"/>
  <c r="T139" i="1"/>
  <c r="AE139" i="1" s="1"/>
  <c r="AF139" i="1" s="1"/>
  <c r="AJ128" i="1"/>
  <c r="AJ129" i="1"/>
  <c r="T127" i="1"/>
  <c r="AE127" i="1" s="1"/>
  <c r="AF127" i="1" s="1"/>
  <c r="T98" i="1"/>
  <c r="AE98" i="1" s="1"/>
  <c r="AF98" i="1" s="1"/>
  <c r="T237" i="1"/>
  <c r="AE237" i="1" s="1"/>
  <c r="AF237" i="1" s="1"/>
  <c r="AJ258" i="1"/>
  <c r="AJ236" i="1"/>
  <c r="AJ230" i="1"/>
  <c r="T223" i="1"/>
  <c r="AE223" i="1" s="1"/>
  <c r="AF223" i="1" s="1"/>
  <c r="AJ206" i="1"/>
  <c r="T197" i="1"/>
  <c r="AE197" i="1" s="1"/>
  <c r="AF197" i="1" s="1"/>
  <c r="T185" i="1"/>
  <c r="AE185" i="1" s="1"/>
  <c r="AF185" i="1" s="1"/>
  <c r="T181" i="1"/>
  <c r="AE181" i="1" s="1"/>
  <c r="AF181" i="1" s="1"/>
  <c r="AJ147" i="1"/>
  <c r="T145" i="1"/>
  <c r="AE145" i="1" s="1"/>
  <c r="AF145" i="1" s="1"/>
  <c r="T135" i="1"/>
  <c r="AE135" i="1" s="1"/>
  <c r="AF135" i="1" s="1"/>
  <c r="T123" i="1"/>
  <c r="AE123" i="1" s="1"/>
  <c r="AF123" i="1" s="1"/>
  <c r="T82" i="1"/>
  <c r="AE82" i="1" s="1"/>
  <c r="AF82" i="1" s="1"/>
  <c r="T77" i="1"/>
  <c r="AE77" i="1" s="1"/>
  <c r="AF77" i="1" s="1"/>
  <c r="AJ174" i="1"/>
  <c r="T153" i="1"/>
  <c r="AE153" i="1" s="1"/>
  <c r="AF153" i="1" s="1"/>
  <c r="AJ118" i="1"/>
  <c r="T109" i="1"/>
  <c r="AE109" i="1" s="1"/>
  <c r="AF109" i="1" s="1"/>
  <c r="T103" i="1"/>
  <c r="AE103" i="1" s="1"/>
  <c r="AF103" i="1" s="1"/>
  <c r="T97" i="1"/>
  <c r="AE97" i="1" s="1"/>
  <c r="AF97" i="1" s="1"/>
  <c r="T87" i="1"/>
  <c r="AE87" i="1" s="1"/>
  <c r="AF87" i="1" s="1"/>
  <c r="T83" i="1"/>
  <c r="AE83" i="1" s="1"/>
  <c r="AF83" i="1" s="1"/>
  <c r="T74" i="1"/>
  <c r="AE74" i="1" s="1"/>
  <c r="AF74" i="1" s="1"/>
  <c r="T68" i="1"/>
  <c r="AE68" i="1" s="1"/>
  <c r="AF68" i="1" s="1"/>
  <c r="AJ66" i="1"/>
  <c r="T57" i="1"/>
  <c r="AE57" i="1" s="1"/>
  <c r="AF57" i="1" s="1"/>
  <c r="T46" i="1"/>
  <c r="AE46" i="1" s="1"/>
  <c r="AF46" i="1" s="1"/>
  <c r="T40" i="1"/>
  <c r="AE40" i="1" s="1"/>
  <c r="AF40" i="1" s="1"/>
  <c r="T35" i="1"/>
  <c r="AE35" i="1" s="1"/>
  <c r="AF35" i="1" s="1"/>
  <c r="AJ21" i="1"/>
  <c r="T17" i="1"/>
  <c r="AE17" i="1" s="1"/>
  <c r="AF17" i="1" s="1"/>
  <c r="T85" i="1"/>
  <c r="AE85" i="1" s="1"/>
  <c r="AF85" i="1" s="1"/>
  <c r="T65" i="1"/>
  <c r="AE65" i="1" s="1"/>
  <c r="AF65" i="1" s="1"/>
  <c r="T59" i="1"/>
  <c r="AE59" i="1" s="1"/>
  <c r="AF59" i="1" s="1"/>
  <c r="T52" i="1"/>
  <c r="AE52" i="1" s="1"/>
  <c r="AF52" i="1" s="1"/>
  <c r="T27" i="1"/>
  <c r="AE27" i="1" s="1"/>
  <c r="AF27" i="1" s="1"/>
  <c r="T19" i="1"/>
  <c r="AE19" i="1" s="1"/>
  <c r="AF19" i="1" s="1"/>
  <c r="T13" i="1"/>
  <c r="AE13" i="1" s="1"/>
  <c r="AF13" i="1" s="1"/>
  <c r="T11" i="1"/>
  <c r="AE11" i="1" s="1"/>
  <c r="AF11" i="1" s="1"/>
  <c r="T8" i="1"/>
  <c r="AE8" i="1" s="1"/>
  <c r="AF8" i="1" s="1"/>
  <c r="T56" i="1"/>
  <c r="AE56" i="1" s="1"/>
  <c r="AF56" i="1" s="1"/>
  <c r="T49" i="1"/>
  <c r="AE49" i="1" s="1"/>
  <c r="AF49" i="1" s="1"/>
  <c r="AJ47" i="1"/>
  <c r="AJ46" i="1"/>
  <c r="T42" i="1"/>
  <c r="AE42" i="1" s="1"/>
  <c r="AF42" i="1" s="1"/>
  <c r="T16" i="1"/>
  <c r="AE16" i="1" s="1"/>
  <c r="AF16" i="1" s="1"/>
  <c r="T89" i="1"/>
  <c r="AE89" i="1" s="1"/>
  <c r="AF89" i="1" s="1"/>
  <c r="T84" i="1"/>
  <c r="AE84" i="1" s="1"/>
  <c r="AF84" i="1" s="1"/>
  <c r="T79" i="1"/>
  <c r="AE79" i="1" s="1"/>
  <c r="AF79" i="1" s="1"/>
  <c r="T53" i="1"/>
  <c r="AE53" i="1" s="1"/>
  <c r="AF53" i="1" s="1"/>
  <c r="T43" i="1"/>
  <c r="AE43" i="1" s="1"/>
  <c r="AF43" i="1" s="1"/>
  <c r="T39" i="1"/>
  <c r="AE39" i="1" s="1"/>
  <c r="AF39" i="1" s="1"/>
  <c r="T34" i="1"/>
  <c r="AE34" i="1" s="1"/>
  <c r="AF34" i="1" s="1"/>
  <c r="T136" i="1"/>
  <c r="AE136" i="1" s="1"/>
  <c r="AF136" i="1" s="1"/>
  <c r="T132" i="1"/>
  <c r="AE132" i="1" s="1"/>
  <c r="AF132" i="1" s="1"/>
  <c r="T86" i="1"/>
  <c r="AE86" i="1" s="1"/>
  <c r="AF86" i="1" s="1"/>
  <c r="T81" i="1"/>
  <c r="AE81" i="1" s="1"/>
  <c r="AF81" i="1" s="1"/>
  <c r="T75" i="1"/>
  <c r="AE75" i="1" s="1"/>
  <c r="AF75" i="1" s="1"/>
  <c r="T73" i="1"/>
  <c r="AE73" i="1" s="1"/>
  <c r="AF73" i="1" s="1"/>
  <c r="T63" i="1"/>
  <c r="AE63" i="1" s="1"/>
  <c r="AF63" i="1" s="1"/>
  <c r="T58" i="1"/>
  <c r="AE58" i="1" s="1"/>
  <c r="AF58" i="1" s="1"/>
  <c r="T45" i="1"/>
  <c r="AE45" i="1" s="1"/>
  <c r="AF45" i="1" s="1"/>
  <c r="T29" i="1"/>
  <c r="AE29" i="1" s="1"/>
  <c r="AF29" i="1" s="1"/>
  <c r="T25" i="1"/>
  <c r="AE25" i="1" s="1"/>
  <c r="AF25" i="1" s="1"/>
  <c r="T18" i="1"/>
  <c r="AE18" i="1" s="1"/>
  <c r="AF18" i="1" s="1"/>
  <c r="T10" i="1"/>
  <c r="AE10" i="1" s="1"/>
  <c r="AF10" i="1" s="1"/>
  <c r="T72" i="1"/>
  <c r="AE72" i="1" s="1"/>
  <c r="AF72" i="1" s="1"/>
  <c r="T76" i="1"/>
  <c r="AE76" i="1" s="1"/>
  <c r="AF76" i="1" s="1"/>
  <c r="T88" i="1"/>
  <c r="AE88" i="1" s="1"/>
  <c r="AF88" i="1" s="1"/>
  <c r="T100" i="1"/>
  <c r="AE100" i="1" s="1"/>
  <c r="AF100" i="1" s="1"/>
  <c r="T104" i="1"/>
  <c r="AE104" i="1" s="1"/>
  <c r="AF104" i="1" s="1"/>
  <c r="T112" i="1"/>
  <c r="AE112" i="1" s="1"/>
  <c r="AF112" i="1" s="1"/>
  <c r="T116" i="1"/>
  <c r="AE116" i="1" s="1"/>
  <c r="AF116" i="1" s="1"/>
  <c r="T128" i="1"/>
  <c r="AE128" i="1" s="1"/>
  <c r="AF128" i="1" s="1"/>
  <c r="T140" i="1"/>
  <c r="AE140" i="1" s="1"/>
  <c r="AF140" i="1" s="1"/>
  <c r="T144" i="1"/>
  <c r="AE144" i="1" s="1"/>
  <c r="AF144" i="1" s="1"/>
  <c r="T152" i="1"/>
  <c r="AE152" i="1" s="1"/>
  <c r="AF152" i="1" s="1"/>
  <c r="T156" i="1"/>
  <c r="AE156" i="1" s="1"/>
  <c r="AF156" i="1" s="1"/>
  <c r="T78" i="1"/>
  <c r="AE78" i="1" s="1"/>
  <c r="AF78" i="1" s="1"/>
  <c r="T90" i="1"/>
  <c r="AE90" i="1" s="1"/>
  <c r="AF90" i="1" s="1"/>
  <c r="T94" i="1"/>
  <c r="AE94" i="1" s="1"/>
  <c r="AF94" i="1" s="1"/>
  <c r="T102" i="1"/>
  <c r="AE102" i="1" s="1"/>
  <c r="AF102" i="1" s="1"/>
  <c r="T106" i="1"/>
  <c r="AE106" i="1" s="1"/>
  <c r="AF106" i="1" s="1"/>
  <c r="T118" i="1"/>
  <c r="AE118" i="1" s="1"/>
  <c r="AF118" i="1" s="1"/>
  <c r="T130" i="1"/>
  <c r="AE130" i="1" s="1"/>
  <c r="AF130" i="1" s="1"/>
  <c r="T134" i="1"/>
  <c r="AE134" i="1" s="1"/>
  <c r="AF134" i="1" s="1"/>
  <c r="T142" i="1"/>
  <c r="AE142" i="1" s="1"/>
  <c r="AF142" i="1" s="1"/>
  <c r="T146" i="1"/>
  <c r="AE146" i="1" s="1"/>
  <c r="AF146" i="1" s="1"/>
  <c r="T158" i="1"/>
  <c r="AE158" i="1" s="1"/>
  <c r="AF158" i="1" s="1"/>
  <c r="T12" i="1"/>
  <c r="AE12" i="1" s="1"/>
  <c r="AF12" i="1" s="1"/>
  <c r="T7" i="1"/>
  <c r="AE7" i="1" s="1"/>
  <c r="AF7" i="1" s="1"/>
  <c r="T20" i="1"/>
  <c r="AE20" i="1" s="1"/>
  <c r="AF20" i="1" s="1"/>
  <c r="AJ170" i="1"/>
  <c r="T119" i="1"/>
  <c r="AE119" i="1" s="1"/>
  <c r="AF119" i="1" s="1"/>
  <c r="T71" i="1"/>
  <c r="AE71" i="1" s="1"/>
  <c r="AF71" i="1" s="1"/>
  <c r="T67" i="1"/>
  <c r="AE67" i="1" s="1"/>
  <c r="AF67" i="1" s="1"/>
  <c r="T47" i="1"/>
  <c r="AE47" i="1" s="1"/>
  <c r="AF47" i="1" s="1"/>
  <c r="T31" i="1"/>
  <c r="AE31" i="1" s="1"/>
  <c r="AF31" i="1" s="1"/>
  <c r="T15" i="1"/>
  <c r="AE15" i="1" s="1"/>
  <c r="AF15" i="1" s="1"/>
  <c r="T2" i="1"/>
  <c r="AE2" i="1" s="1"/>
  <c r="AF2" i="1" s="1"/>
  <c r="T216" i="1"/>
  <c r="AE216" i="1" s="1"/>
  <c r="AF216" i="1" s="1"/>
  <c r="T212" i="1"/>
  <c r="AE212" i="1" s="1"/>
  <c r="AF212" i="1" s="1"/>
  <c r="T204" i="1"/>
  <c r="AE204" i="1" s="1"/>
  <c r="AF204" i="1" s="1"/>
  <c r="T200" i="1"/>
  <c r="AE200" i="1" s="1"/>
  <c r="AF200" i="1" s="1"/>
  <c r="T188" i="1"/>
  <c r="AE188" i="1" s="1"/>
  <c r="AF188" i="1" s="1"/>
  <c r="T174" i="1"/>
  <c r="AE174" i="1" s="1"/>
  <c r="AF174" i="1" s="1"/>
  <c r="AJ157" i="1"/>
  <c r="T126" i="1"/>
  <c r="AE126" i="1" s="1"/>
  <c r="AF126" i="1" s="1"/>
  <c r="T121" i="1"/>
  <c r="AE121" i="1" s="1"/>
  <c r="AF121" i="1" s="1"/>
  <c r="T115" i="1"/>
  <c r="AE115" i="1" s="1"/>
  <c r="AF115" i="1" s="1"/>
  <c r="T113" i="1"/>
  <c r="AE113" i="1" s="1"/>
  <c r="AF113" i="1" s="1"/>
  <c r="T80" i="1"/>
  <c r="AE80" i="1" s="1"/>
  <c r="AF80" i="1" s="1"/>
  <c r="AJ78" i="1"/>
  <c r="T69" i="1"/>
  <c r="AE69" i="1" s="1"/>
  <c r="AF69" i="1" s="1"/>
  <c r="T61" i="1"/>
  <c r="AE61" i="1" s="1"/>
  <c r="AF61" i="1" s="1"/>
  <c r="AJ59" i="1"/>
  <c r="AJ58" i="1"/>
  <c r="T51" i="1"/>
  <c r="AE51" i="1" s="1"/>
  <c r="AF51" i="1" s="1"/>
  <c r="T44" i="1"/>
  <c r="AE44" i="1" s="1"/>
  <c r="AF44" i="1" s="1"/>
  <c r="T41" i="1"/>
  <c r="AE41" i="1" s="1"/>
  <c r="AF41" i="1" s="1"/>
  <c r="T37" i="1"/>
  <c r="AE37" i="1" s="1"/>
  <c r="AF37" i="1" s="1"/>
  <c r="T33" i="1"/>
  <c r="AE33" i="1" s="1"/>
  <c r="AF33" i="1" s="1"/>
  <c r="T28" i="1"/>
  <c r="AE28" i="1" s="1"/>
  <c r="AF28" i="1" s="1"/>
  <c r="T23" i="1"/>
  <c r="AE23" i="1" s="1"/>
  <c r="AF23" i="1" s="1"/>
  <c r="T9" i="1"/>
  <c r="AE9" i="1" s="1"/>
  <c r="AF9" i="1" s="1"/>
  <c r="AE3" i="1"/>
  <c r="AF3" i="1" s="1"/>
  <c r="T161" i="1"/>
  <c r="AE161" i="1" s="1"/>
  <c r="AF161" i="1" s="1"/>
  <c r="T159" i="1"/>
  <c r="AE159" i="1" s="1"/>
  <c r="AF159" i="1" s="1"/>
  <c r="T111" i="1"/>
  <c r="AE111" i="1" s="1"/>
  <c r="AF111" i="1" s="1"/>
  <c r="T107" i="1"/>
  <c r="AE107" i="1" s="1"/>
  <c r="AF107" i="1" s="1"/>
  <c r="T99" i="1"/>
  <c r="AE99" i="1" s="1"/>
  <c r="AF99" i="1" s="1"/>
  <c r="T95" i="1"/>
  <c r="AE95" i="1" s="1"/>
  <c r="AF95" i="1" s="1"/>
  <c r="T91" i="1"/>
  <c r="AE91" i="1" s="1"/>
  <c r="AF91" i="1" s="1"/>
  <c r="T55" i="1"/>
  <c r="AE55" i="1" s="1"/>
  <c r="AF55" i="1" s="1"/>
  <c r="AJ37" i="1"/>
  <c r="T21" i="1"/>
  <c r="AE21" i="1" s="1"/>
  <c r="AF21" i="1" s="1"/>
  <c r="AJ7" i="1"/>
  <c r="T6" i="1"/>
  <c r="AE6" i="1" s="1"/>
  <c r="AF6" i="1" s="1"/>
  <c r="AJ34" i="1"/>
  <c r="AJ30" i="1"/>
  <c r="AJ18" i="1"/>
  <c r="T4" i="1"/>
  <c r="AE4" i="1" s="1"/>
  <c r="AF4" i="1" s="1"/>
  <c r="T5" i="1"/>
  <c r="AE5" i="1" s="1"/>
  <c r="AF5" i="1" s="1"/>
  <c r="T66" i="1"/>
  <c r="AE66" i="1" s="1"/>
  <c r="AF66" i="1" s="1"/>
  <c r="T62" i="1"/>
  <c r="AE62" i="1" s="1"/>
  <c r="AF62" i="1" s="1"/>
  <c r="T54" i="1"/>
  <c r="AE54" i="1" s="1"/>
  <c r="AF54" i="1" s="1"/>
  <c r="T50" i="1"/>
  <c r="AE50" i="1" s="1"/>
  <c r="AF50" i="1" s="1"/>
  <c r="T38" i="1"/>
  <c r="AE38" i="1" s="1"/>
  <c r="AF38" i="1" s="1"/>
  <c r="T26" i="1"/>
  <c r="AE26" i="1" s="1"/>
  <c r="AF26" i="1" s="1"/>
  <c r="T22" i="1"/>
  <c r="AE22" i="1" s="1"/>
  <c r="AF22" i="1" s="1"/>
  <c r="T14" i="1"/>
  <c r="AE14" i="1" s="1"/>
  <c r="AF14" i="1" s="1"/>
  <c r="T64" i="1"/>
  <c r="AE64" i="1" s="1"/>
  <c r="AF64" i="1" s="1"/>
  <c r="T60" i="1"/>
  <c r="AE60" i="1" s="1"/>
  <c r="AF60" i="1" s="1"/>
  <c r="T48" i="1"/>
  <c r="AE48" i="1" s="1"/>
  <c r="AF48" i="1" s="1"/>
  <c r="T36" i="1"/>
  <c r="AE36" i="1" s="1"/>
  <c r="AF36" i="1" s="1"/>
  <c r="T32" i="1"/>
  <c r="AE32" i="1" s="1"/>
  <c r="AF32" i="1" s="1"/>
  <c r="T24" i="1"/>
  <c r="AE24" i="1" s="1"/>
  <c r="AF24" i="1" s="1"/>
  <c r="AG47" i="1" l="1"/>
  <c r="AH47" i="1"/>
  <c r="AG81" i="1"/>
  <c r="AH81" i="1"/>
  <c r="AG41" i="1"/>
  <c r="AH41" i="1"/>
  <c r="AG90" i="1"/>
  <c r="AH90" i="1"/>
  <c r="AG85" i="1"/>
  <c r="AH85" i="1"/>
  <c r="AG154" i="1"/>
  <c r="AH154" i="1"/>
  <c r="AG44" i="1"/>
  <c r="AH44" i="1"/>
  <c r="AG142" i="1"/>
  <c r="AH142" i="1"/>
  <c r="AG89" i="1"/>
  <c r="AH89" i="1"/>
  <c r="AG168" i="1"/>
  <c r="AH168" i="1"/>
  <c r="AG22" i="1"/>
  <c r="AH22" i="1"/>
  <c r="AG115" i="1"/>
  <c r="AH115" i="1"/>
  <c r="AG156" i="1"/>
  <c r="AH156" i="1"/>
  <c r="AG13" i="1"/>
  <c r="AH13" i="1"/>
  <c r="AG178" i="1"/>
  <c r="AH178" i="1"/>
  <c r="AG48" i="1"/>
  <c r="AH48" i="1"/>
  <c r="AG54" i="1"/>
  <c r="AH54" i="1"/>
  <c r="AG6" i="1"/>
  <c r="AH6" i="1"/>
  <c r="AG107" i="1"/>
  <c r="AH107" i="1"/>
  <c r="AG33" i="1"/>
  <c r="AH33" i="1"/>
  <c r="AG69" i="1"/>
  <c r="AH69" i="1"/>
  <c r="AG174" i="1"/>
  <c r="AH174" i="1"/>
  <c r="AG31" i="1"/>
  <c r="AH31" i="1"/>
  <c r="AG12" i="1"/>
  <c r="AH12" i="1"/>
  <c r="AG102" i="1"/>
  <c r="AH102" i="1"/>
  <c r="AG128" i="1"/>
  <c r="AH128" i="1"/>
  <c r="AG10" i="1"/>
  <c r="AH10" i="1"/>
  <c r="AG75" i="1"/>
  <c r="AH75" i="1"/>
  <c r="AG53" i="1"/>
  <c r="AH53" i="1"/>
  <c r="AG49" i="1"/>
  <c r="AH49" i="1"/>
  <c r="AG59" i="1"/>
  <c r="AH59" i="1"/>
  <c r="AG57" i="1"/>
  <c r="AH57" i="1"/>
  <c r="AG109" i="1"/>
  <c r="AH109" i="1"/>
  <c r="AG145" i="1"/>
  <c r="AH145" i="1"/>
  <c r="AG150" i="1"/>
  <c r="AH150" i="1"/>
  <c r="AG209" i="1"/>
  <c r="AH209" i="1"/>
  <c r="AG124" i="1"/>
  <c r="AH124" i="1"/>
  <c r="AG183" i="1"/>
  <c r="AH183" i="1"/>
  <c r="AG230" i="1"/>
  <c r="AH230" i="1"/>
  <c r="AG30" i="1"/>
  <c r="AH30" i="1"/>
  <c r="AG248" i="1"/>
  <c r="AH248" i="1"/>
  <c r="AG231" i="1"/>
  <c r="AH231" i="1"/>
  <c r="AG133" i="1"/>
  <c r="AH133" i="1"/>
  <c r="AG167" i="1"/>
  <c r="AH167" i="1"/>
  <c r="AG180" i="1"/>
  <c r="AH180" i="1"/>
  <c r="AG249" i="1"/>
  <c r="AH249" i="1"/>
  <c r="AG233" i="1"/>
  <c r="AH233" i="1"/>
  <c r="AG122" i="1"/>
  <c r="AH122" i="1"/>
  <c r="AG189" i="1"/>
  <c r="AH189" i="1"/>
  <c r="AG217" i="1"/>
  <c r="AH217" i="1"/>
  <c r="AG184" i="1"/>
  <c r="AH184" i="1"/>
  <c r="AG111" i="1"/>
  <c r="AH111" i="1"/>
  <c r="AG65" i="1"/>
  <c r="AH65" i="1"/>
  <c r="AG157" i="1"/>
  <c r="AH157" i="1"/>
  <c r="AG215" i="1"/>
  <c r="AH215" i="1"/>
  <c r="AG147" i="1"/>
  <c r="AH147" i="1"/>
  <c r="AG186" i="1"/>
  <c r="AH186" i="1"/>
  <c r="AG108" i="1"/>
  <c r="AH108" i="1"/>
  <c r="AG253" i="1"/>
  <c r="AH253" i="1"/>
  <c r="AG234" i="1"/>
  <c r="AH234" i="1"/>
  <c r="AG138" i="1"/>
  <c r="AH138" i="1"/>
  <c r="AG193" i="1"/>
  <c r="AH193" i="1"/>
  <c r="AG192" i="1"/>
  <c r="AH192" i="1"/>
  <c r="AG261" i="1"/>
  <c r="AH261" i="1"/>
  <c r="AG239" i="1"/>
  <c r="AH239" i="1"/>
  <c r="AG101" i="1"/>
  <c r="AH101" i="1"/>
  <c r="AG177" i="1"/>
  <c r="AH177" i="1"/>
  <c r="AG257" i="1"/>
  <c r="AH257" i="1"/>
  <c r="AG37" i="1"/>
  <c r="AH37" i="1"/>
  <c r="AG66" i="1"/>
  <c r="AH66" i="1"/>
  <c r="AG25" i="1"/>
  <c r="AH25" i="1"/>
  <c r="AG165" i="1"/>
  <c r="AH165" i="1"/>
  <c r="AG120" i="1"/>
  <c r="AH120" i="1"/>
  <c r="AG70" i="1"/>
  <c r="AH70" i="1"/>
  <c r="AG241" i="1"/>
  <c r="AH241" i="1"/>
  <c r="AG141" i="1"/>
  <c r="AH141" i="1"/>
  <c r="AG201" i="1"/>
  <c r="AH201" i="1"/>
  <c r="AG196" i="1"/>
  <c r="AH196" i="1"/>
  <c r="AG114" i="1"/>
  <c r="AH114" i="1"/>
  <c r="AG225" i="1"/>
  <c r="AH225" i="1"/>
  <c r="AG259" i="1"/>
  <c r="AH259" i="1"/>
  <c r="AG238" i="1"/>
  <c r="AH238" i="1"/>
  <c r="AG255" i="1"/>
  <c r="AH255" i="1"/>
  <c r="AG226" i="1"/>
  <c r="AH226" i="1"/>
  <c r="AG110" i="1"/>
  <c r="AH110" i="1"/>
  <c r="AG62" i="1"/>
  <c r="AH62" i="1"/>
  <c r="AG79" i="1"/>
  <c r="AH79" i="1"/>
  <c r="AG146" i="1"/>
  <c r="AH146" i="1"/>
  <c r="AG181" i="1"/>
  <c r="AH181" i="1"/>
  <c r="AG71" i="1"/>
  <c r="AH71" i="1"/>
  <c r="AG185" i="1"/>
  <c r="AH185" i="1"/>
  <c r="AG125" i="1"/>
  <c r="AH125" i="1"/>
  <c r="AG96" i="1"/>
  <c r="AH96" i="1"/>
  <c r="AG244" i="1"/>
  <c r="AH244" i="1"/>
  <c r="AG143" i="1"/>
  <c r="AH143" i="1"/>
  <c r="AG219" i="1"/>
  <c r="AH219" i="1"/>
  <c r="AG205" i="1"/>
  <c r="AH205" i="1"/>
  <c r="AG149" i="1"/>
  <c r="AH149" i="1"/>
  <c r="AG246" i="1"/>
  <c r="AH246" i="1"/>
  <c r="AG222" i="1"/>
  <c r="AH222" i="1"/>
  <c r="AG245" i="1"/>
  <c r="AH245" i="1"/>
  <c r="AG160" i="1"/>
  <c r="AH160" i="1"/>
  <c r="AG158" i="1"/>
  <c r="AH158" i="1"/>
  <c r="AG21" i="1"/>
  <c r="AH21" i="1"/>
  <c r="AG84" i="1"/>
  <c r="AH84" i="1"/>
  <c r="AG5" i="1"/>
  <c r="AH5" i="1"/>
  <c r="AG132" i="1"/>
  <c r="AH132" i="1"/>
  <c r="AG256" i="1"/>
  <c r="AH256" i="1"/>
  <c r="AG45" i="1"/>
  <c r="AH45" i="1"/>
  <c r="AG254" i="1"/>
  <c r="AH254" i="1"/>
  <c r="AG224" i="1"/>
  <c r="AH224" i="1"/>
  <c r="AG60" i="1"/>
  <c r="AH60" i="1"/>
  <c r="AG116" i="1"/>
  <c r="AH116" i="1"/>
  <c r="AG64" i="1"/>
  <c r="AH64" i="1"/>
  <c r="AG200" i="1"/>
  <c r="AH200" i="1"/>
  <c r="AG86" i="1"/>
  <c r="AH86" i="1"/>
  <c r="AG153" i="1"/>
  <c r="AH153" i="1"/>
  <c r="AG14" i="1"/>
  <c r="AH14" i="1"/>
  <c r="AG204" i="1"/>
  <c r="AH204" i="1"/>
  <c r="AG29" i="1"/>
  <c r="AH29" i="1"/>
  <c r="AG74" i="1"/>
  <c r="AH74" i="1"/>
  <c r="AG195" i="1"/>
  <c r="AH195" i="1"/>
  <c r="AG51" i="1"/>
  <c r="AH51" i="1"/>
  <c r="AG134" i="1"/>
  <c r="AH134" i="1"/>
  <c r="AG16" i="1"/>
  <c r="AH16" i="1"/>
  <c r="AG197" i="1"/>
  <c r="AH197" i="1"/>
  <c r="AG198" i="1"/>
  <c r="AH198" i="1"/>
  <c r="AG105" i="1"/>
  <c r="AH105" i="1"/>
  <c r="AG199" i="1"/>
  <c r="AH199" i="1"/>
  <c r="AG242" i="1"/>
  <c r="AH242" i="1"/>
  <c r="AG24" i="1"/>
  <c r="AH24" i="1"/>
  <c r="AG26" i="1"/>
  <c r="AH26" i="1"/>
  <c r="AG91" i="1"/>
  <c r="AH91" i="1"/>
  <c r="AG9" i="1"/>
  <c r="AH9" i="1"/>
  <c r="AG121" i="1"/>
  <c r="AH121" i="1"/>
  <c r="AG216" i="1"/>
  <c r="AH216" i="1"/>
  <c r="AG130" i="1"/>
  <c r="AH130" i="1"/>
  <c r="AG152" i="1"/>
  <c r="AH152" i="1"/>
  <c r="AG88" i="1"/>
  <c r="AH88" i="1"/>
  <c r="AG58" i="1"/>
  <c r="AH58" i="1"/>
  <c r="AG34" i="1"/>
  <c r="AH34" i="1"/>
  <c r="AG42" i="1"/>
  <c r="AH42" i="1"/>
  <c r="AG19" i="1"/>
  <c r="AH19" i="1"/>
  <c r="AG35" i="1"/>
  <c r="AH35" i="1"/>
  <c r="AG87" i="1"/>
  <c r="AH87" i="1"/>
  <c r="AG82" i="1"/>
  <c r="AH82" i="1"/>
  <c r="AG190" i="1"/>
  <c r="AH190" i="1"/>
  <c r="AG236" i="1"/>
  <c r="AH236" i="1"/>
  <c r="AG176" i="1"/>
  <c r="AH176" i="1"/>
  <c r="AG206" i="1"/>
  <c r="AH206" i="1"/>
  <c r="AG207" i="1"/>
  <c r="AH207" i="1"/>
  <c r="AG137" i="1"/>
  <c r="AH137" i="1"/>
  <c r="AG93" i="1"/>
  <c r="AH93" i="1"/>
  <c r="AG228" i="1"/>
  <c r="AH228" i="1"/>
  <c r="AG229" i="1"/>
  <c r="AH229" i="1"/>
  <c r="AG164" i="1"/>
  <c r="AH164" i="1"/>
  <c r="AG187" i="1"/>
  <c r="AH187" i="1"/>
  <c r="AG211" i="1"/>
  <c r="AH211" i="1"/>
  <c r="AG203" i="1"/>
  <c r="AH203" i="1"/>
  <c r="AG251" i="1"/>
  <c r="AH251" i="1"/>
  <c r="AG188" i="1"/>
  <c r="AH188" i="1"/>
  <c r="AG18" i="1"/>
  <c r="AH18" i="1"/>
  <c r="AG159" i="1"/>
  <c r="AH159" i="1"/>
  <c r="AG67" i="1"/>
  <c r="AH67" i="1"/>
  <c r="AG8" i="1"/>
  <c r="AH8" i="1"/>
  <c r="AG237" i="1"/>
  <c r="AH237" i="1"/>
  <c r="AG161" i="1"/>
  <c r="AH161" i="1"/>
  <c r="AG78" i="1"/>
  <c r="AH78" i="1"/>
  <c r="AG11" i="1"/>
  <c r="AH11" i="1"/>
  <c r="AG98" i="1"/>
  <c r="AH98" i="1"/>
  <c r="AG4" i="1"/>
  <c r="AH4" i="1"/>
  <c r="AG212" i="1"/>
  <c r="AH212" i="1"/>
  <c r="AG100" i="1"/>
  <c r="AH100" i="1"/>
  <c r="AG83" i="1"/>
  <c r="AH83" i="1"/>
  <c r="AG127" i="1"/>
  <c r="AH127" i="1"/>
  <c r="AG258" i="1"/>
  <c r="AH258" i="1"/>
  <c r="AG240" i="1"/>
  <c r="AH240" i="1"/>
  <c r="AG218" i="1"/>
  <c r="AH218" i="1"/>
  <c r="AG38" i="1"/>
  <c r="AH38" i="1"/>
  <c r="AG95" i="1"/>
  <c r="AH95" i="1"/>
  <c r="AG23" i="1"/>
  <c r="AH23" i="1"/>
  <c r="AG126" i="1"/>
  <c r="AH126" i="1"/>
  <c r="AH2" i="1"/>
  <c r="AG20" i="1"/>
  <c r="AH20" i="1"/>
  <c r="AG118" i="1"/>
  <c r="AH118" i="1"/>
  <c r="AG144" i="1"/>
  <c r="AH144" i="1"/>
  <c r="AG76" i="1"/>
  <c r="AH76" i="1"/>
  <c r="AG63" i="1"/>
  <c r="AH63" i="1"/>
  <c r="AG39" i="1"/>
  <c r="AH39" i="1"/>
  <c r="AG27" i="1"/>
  <c r="AH27" i="1"/>
  <c r="AG40" i="1"/>
  <c r="AH40" i="1"/>
  <c r="AG97" i="1"/>
  <c r="AH97" i="1"/>
  <c r="AG123" i="1"/>
  <c r="AH123" i="1"/>
  <c r="AG223" i="1"/>
  <c r="AH223" i="1"/>
  <c r="AG194" i="1"/>
  <c r="AH194" i="1"/>
  <c r="AG260" i="1"/>
  <c r="AH260" i="1"/>
  <c r="AG179" i="1"/>
  <c r="AH179" i="1"/>
  <c r="AG213" i="1"/>
  <c r="AH213" i="1"/>
  <c r="AG210" i="1"/>
  <c r="AH210" i="1"/>
  <c r="AG166" i="1"/>
  <c r="AH166" i="1"/>
  <c r="AG214" i="1"/>
  <c r="AH214" i="1"/>
  <c r="AG117" i="1"/>
  <c r="AH117" i="1"/>
  <c r="AG151" i="1"/>
  <c r="AH151" i="1"/>
  <c r="AG92" i="1"/>
  <c r="AH92" i="1"/>
  <c r="AG235" i="1"/>
  <c r="AH235" i="1"/>
  <c r="AG171" i="1"/>
  <c r="AH171" i="1"/>
  <c r="AG173" i="1"/>
  <c r="AH173" i="1"/>
  <c r="AG227" i="1"/>
  <c r="AH227" i="1"/>
  <c r="AG170" i="1"/>
  <c r="AH170" i="1"/>
  <c r="AG94" i="1"/>
  <c r="AH94" i="1"/>
  <c r="AG56" i="1"/>
  <c r="AH56" i="1"/>
  <c r="AG80" i="1"/>
  <c r="AH80" i="1"/>
  <c r="AG112" i="1"/>
  <c r="AH112" i="1"/>
  <c r="AG68" i="1"/>
  <c r="AH68" i="1"/>
  <c r="AG191" i="1"/>
  <c r="AH191" i="1"/>
  <c r="AG113" i="1"/>
  <c r="AH113" i="1"/>
  <c r="AG104" i="1"/>
  <c r="AH104" i="1"/>
  <c r="AG17" i="1"/>
  <c r="AH17" i="1"/>
  <c r="AG232" i="1"/>
  <c r="AH232" i="1"/>
  <c r="AG55" i="1"/>
  <c r="AH55" i="1"/>
  <c r="AG3" i="1"/>
  <c r="AH3" i="1"/>
  <c r="AG119" i="1"/>
  <c r="AH119" i="1"/>
  <c r="AG136" i="1"/>
  <c r="AH136" i="1"/>
  <c r="AG77" i="1"/>
  <c r="AH77" i="1"/>
  <c r="AG169" i="1"/>
  <c r="AH169" i="1"/>
  <c r="AG129" i="1"/>
  <c r="AH129" i="1"/>
  <c r="AG162" i="1"/>
  <c r="AH162" i="1"/>
  <c r="AG220" i="1"/>
  <c r="AH220" i="1"/>
  <c r="AG32" i="1"/>
  <c r="AH32" i="1"/>
  <c r="AG36" i="1"/>
  <c r="AH36" i="1"/>
  <c r="AG50" i="1"/>
  <c r="AH50" i="1"/>
  <c r="AG99" i="1"/>
  <c r="AH99" i="1"/>
  <c r="AG28" i="1"/>
  <c r="AH28" i="1"/>
  <c r="AG61" i="1"/>
  <c r="AH61" i="1"/>
  <c r="AG15" i="1"/>
  <c r="AH15" i="1"/>
  <c r="AG7" i="1"/>
  <c r="AH7" i="1"/>
  <c r="AG106" i="1"/>
  <c r="AH106" i="1"/>
  <c r="AG140" i="1"/>
  <c r="AH140" i="1"/>
  <c r="AG72" i="1"/>
  <c r="AH72" i="1"/>
  <c r="AG73" i="1"/>
  <c r="AH73" i="1"/>
  <c r="AG43" i="1"/>
  <c r="AH43" i="1"/>
  <c r="AG52" i="1"/>
  <c r="AH52" i="1"/>
  <c r="AG46" i="1"/>
  <c r="AH46" i="1"/>
  <c r="AG103" i="1"/>
  <c r="AH103" i="1"/>
  <c r="AG135" i="1"/>
  <c r="AH135" i="1"/>
  <c r="AG139" i="1"/>
  <c r="AH139" i="1"/>
  <c r="AG202" i="1"/>
  <c r="AH202" i="1"/>
  <c r="AG155" i="1"/>
  <c r="AH155" i="1"/>
  <c r="AG182" i="1"/>
  <c r="AH182" i="1"/>
  <c r="AG250" i="1"/>
  <c r="AH250" i="1"/>
  <c r="AG172" i="1"/>
  <c r="AH172" i="1"/>
  <c r="AG221" i="1"/>
  <c r="AH221" i="1"/>
  <c r="AG131" i="1"/>
  <c r="AH131" i="1"/>
  <c r="AG163" i="1"/>
  <c r="AH163" i="1"/>
  <c r="AG148" i="1"/>
  <c r="AH148" i="1"/>
  <c r="AG247" i="1"/>
  <c r="AH247" i="1"/>
  <c r="AG208" i="1"/>
  <c r="AH208" i="1"/>
  <c r="AG252" i="1"/>
  <c r="AH252" i="1"/>
  <c r="AG243" i="1"/>
  <c r="AH243" i="1"/>
  <c r="AG175" i="1"/>
  <c r="AH175" i="1"/>
  <c r="AI2" i="1"/>
  <c r="AJ2" i="1" s="1"/>
  <c r="AG2" i="1"/>
</calcChain>
</file>

<file path=xl/sharedStrings.xml><?xml version="1.0" encoding="utf-8"?>
<sst xmlns="http://schemas.openxmlformats.org/spreadsheetml/2006/main" count="563" uniqueCount="64">
  <si>
    <t>ZH</t>
  </si>
  <si>
    <t>ZG</t>
  </si>
  <si>
    <t>VS</t>
  </si>
  <si>
    <t>VD</t>
  </si>
  <si>
    <t>UR</t>
  </si>
  <si>
    <t>TI</t>
  </si>
  <si>
    <t>TG</t>
  </si>
  <si>
    <t>SZ</t>
  </si>
  <si>
    <t>SO</t>
  </si>
  <si>
    <t>SH</t>
  </si>
  <si>
    <t>SG</t>
  </si>
  <si>
    <t>OW</t>
  </si>
  <si>
    <t>NW</t>
  </si>
  <si>
    <t>NE</t>
  </si>
  <si>
    <t>LU</t>
  </si>
  <si>
    <t>JU</t>
  </si>
  <si>
    <t>GR</t>
  </si>
  <si>
    <t>GL</t>
  </si>
  <si>
    <t>GE</t>
  </si>
  <si>
    <t>FR</t>
  </si>
  <si>
    <t>BS</t>
  </si>
  <si>
    <t>BL</t>
  </si>
  <si>
    <t>BE</t>
  </si>
  <si>
    <t>AR</t>
  </si>
  <si>
    <t>AI</t>
  </si>
  <si>
    <t>AG</t>
  </si>
  <si>
    <t>delta_income</t>
  </si>
  <si>
    <t>delta_unemployment</t>
  </si>
  <si>
    <t>delta_migration</t>
  </si>
  <si>
    <t>delta_rent</t>
  </si>
  <si>
    <t>shock_exposure</t>
  </si>
  <si>
    <t>exposure_index</t>
  </si>
  <si>
    <t>housing_construction_pc</t>
  </si>
  <si>
    <t>housing_constr_tot</t>
  </si>
  <si>
    <t>share_65plus</t>
  </si>
  <si>
    <t>unemployment_rate</t>
  </si>
  <si>
    <t>log_avg_income</t>
  </si>
  <si>
    <t>avg_income</t>
  </si>
  <si>
    <t>Z-score-ownrrate</t>
  </si>
  <si>
    <t>Z-score-debt</t>
  </si>
  <si>
    <t>homeownership_rate</t>
  </si>
  <si>
    <t>debt_per_household_*1000</t>
  </si>
  <si>
    <t>logement_propr</t>
  </si>
  <si>
    <t>change_mrtgrate</t>
  </si>
  <si>
    <t>mortgage_rate</t>
  </si>
  <si>
    <t>immo_price_index</t>
  </si>
  <si>
    <t>migration_rate</t>
  </si>
  <si>
    <t>Solde_migratoire</t>
  </si>
  <si>
    <t>pop_cant</t>
  </si>
  <si>
    <t>log_rent_avg</t>
  </si>
  <si>
    <t>rent_avg</t>
  </si>
  <si>
    <t>year</t>
  </si>
  <si>
    <t>canton</t>
  </si>
  <si>
    <t>log_unemployment</t>
  </si>
  <si>
    <t>Z_score_rent</t>
  </si>
  <si>
    <t>avg_income_zscore</t>
  </si>
  <si>
    <t>z-score_unemployment</t>
  </si>
  <si>
    <t>immoo_price_index_zscore</t>
  </si>
  <si>
    <t>migration_rate_zscore</t>
  </si>
  <si>
    <t>CLUSTER 0</t>
  </si>
  <si>
    <t>CLUSTER 1</t>
  </si>
  <si>
    <t>CLUSTER 2</t>
  </si>
  <si>
    <t>log_schockexposure</t>
  </si>
  <si>
    <t>shockexposure_zscore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</si>
</sst>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4" fontId="0" fillId="0" borderId="0" xfId="0" applyNumberFormat="1"/>
    <xf numFmtId="3" fontId="0" fillId="0" borderId="0" xfId="0" applyNumberFormat="1"/>
    <xf numFmtId="3" fontId="0" fillId="0" borderId="0" xfId="0" applyNumberFormat="1" applyAlignment="1">
      <alignment horizontal="right"/>
    </xf>
    <xf numFmtId="4" fontId="1" fillId="2" borderId="1" xfId="0" applyNumberFormat="1" applyFont="1" applyFill="1" applyBorder="1" applyAlignment="1">
      <alignment horizontal="right"/>
    </xf>
    <xf numFmtId="4" fontId="2" fillId="0" borderId="0" xfId="0" applyNumberFormat="1" applyFont="1" applyAlignment="1">
      <alignment horizontal="left"/>
    </xf>
    <xf numFmtId="3" fontId="0" fillId="4" borderId="0" xfId="0" applyNumberFormat="1" applyFill="1" applyAlignment="1">
      <alignment horizontal="right"/>
    </xf>
    <xf numFmtId="4" fontId="1" fillId="4" borderId="1" xfId="0" applyNumberFormat="1" applyFont="1" applyFill="1" applyBorder="1" applyAlignment="1">
      <alignment horizontal="right"/>
    </xf>
    <xf numFmtId="4" fontId="0" fillId="4" borderId="0" xfId="0" applyNumberFormat="1" applyFill="1"/>
    <xf numFmtId="4" fontId="2" fillId="4" borderId="0" xfId="0" applyNumberFormat="1" applyFont="1" applyFill="1" applyAlignment="1">
      <alignment horizontal="left"/>
    </xf>
    <xf numFmtId="2" fontId="2" fillId="0" borderId="2" xfId="0" applyNumberFormat="1" applyFont="1" applyBorder="1" applyAlignment="1">
      <alignment horizontal="center"/>
    </xf>
    <xf numFmtId="2" fontId="2" fillId="4" borderId="2" xfId="0" applyNumberFormat="1" applyFont="1" applyFill="1" applyBorder="1" applyAlignment="1">
      <alignment horizontal="center"/>
    </xf>
    <xf numFmtId="2" fontId="2" fillId="3" borderId="2" xfId="0" applyNumberFormat="1" applyFont="1" applyFill="1" applyBorder="1" applyAlignment="1">
      <alignment horizontal="center"/>
    </xf>
    <xf numFmtId="2" fontId="5" fillId="0" borderId="0" xfId="0" applyNumberFormat="1" applyFont="1"/>
    <xf numFmtId="2" fontId="3" fillId="0" borderId="0" xfId="0" applyNumberFormat="1" applyFont="1" applyAlignment="1">
      <alignment horizontal="right"/>
    </xf>
    <xf numFmtId="2" fontId="4" fillId="0" borderId="0" xfId="0" applyNumberFormat="1" applyFont="1"/>
    <xf numFmtId="2" fontId="3" fillId="4" borderId="0" xfId="0" applyNumberFormat="1" applyFont="1" applyFill="1" applyAlignment="1">
      <alignment horizontal="right"/>
    </xf>
    <xf numFmtId="2" fontId="3" fillId="3" borderId="1" xfId="0" applyNumberFormat="1" applyFont="1" applyFill="1" applyBorder="1" applyAlignment="1">
      <alignment horizontal="right"/>
    </xf>
    <xf numFmtId="0" fontId="2" fillId="0" borderId="2" xfId="0" applyNumberFormat="1" applyFont="1" applyBorder="1" applyAlignment="1">
      <alignment horizontal="center"/>
    </xf>
    <xf numFmtId="0" fontId="3" fillId="0" borderId="0" xfId="0" applyNumberFormat="1" applyFont="1" applyAlignment="1">
      <alignment horizontal="righ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maximeducotterd/Desktop/panel_choc_taux_suisse_2014_2024.csv" TargetMode="External"/><Relationship Id="rId1" Type="http://schemas.openxmlformats.org/officeDocument/2006/relationships/externalLinkPath" Target="/Users/maximeducotterd/Desktop/panel_choc_taux_suisse_2014_2024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ictionary"/>
      <sheetName val="Feuil1"/>
      <sheetName val="Feuil3"/>
      <sheetName val="Feuil2"/>
      <sheetName val="data2"/>
    </sheetNames>
    <sheetDataSet>
      <sheetData sheetId="0"/>
      <sheetData sheetId="1">
        <row r="36">
          <cell r="J36">
            <v>634812333.33333337</v>
          </cell>
        </row>
        <row r="37">
          <cell r="J37">
            <v>656082187.4083333</v>
          </cell>
        </row>
        <row r="38">
          <cell r="J38">
            <v>675583090.91666663</v>
          </cell>
        </row>
        <row r="39">
          <cell r="J39">
            <v>692372509.26666653</v>
          </cell>
        </row>
        <row r="40">
          <cell r="J40">
            <v>710839140.2166667</v>
          </cell>
        </row>
        <row r="41">
          <cell r="J41">
            <v>730166753.23333323</v>
          </cell>
        </row>
        <row r="42">
          <cell r="J42">
            <v>749416767.22500002</v>
          </cell>
        </row>
        <row r="43">
          <cell r="J43">
            <v>773149786.04999983</v>
          </cell>
        </row>
        <row r="44">
          <cell r="J44">
            <v>796132497.4666667</v>
          </cell>
        </row>
        <row r="45">
          <cell r="J45">
            <v>813088341.5916667</v>
          </cell>
        </row>
        <row r="46">
          <cell r="J46">
            <v>634812333.33333337</v>
          </cell>
        </row>
        <row r="47">
          <cell r="J47">
            <v>656082187.4083333</v>
          </cell>
        </row>
        <row r="48">
          <cell r="J48">
            <v>675583090.91666663</v>
          </cell>
        </row>
        <row r="49">
          <cell r="J49">
            <v>692372509.26666653</v>
          </cell>
        </row>
        <row r="50">
          <cell r="J50">
            <v>710839140.2166667</v>
          </cell>
        </row>
        <row r="51">
          <cell r="J51">
            <v>730166753.23333323</v>
          </cell>
        </row>
        <row r="52">
          <cell r="J52">
            <v>749416767.22500002</v>
          </cell>
        </row>
        <row r="53">
          <cell r="J53">
            <v>773149786.04999983</v>
          </cell>
        </row>
        <row r="54">
          <cell r="J54">
            <v>796132497.4666667</v>
          </cell>
        </row>
        <row r="55">
          <cell r="J55">
            <v>813088341.5916667</v>
          </cell>
        </row>
        <row r="56">
          <cell r="J56">
            <v>634812333.33333337</v>
          </cell>
        </row>
        <row r="57">
          <cell r="J57">
            <v>656082187.4083333</v>
          </cell>
        </row>
        <row r="58">
          <cell r="J58">
            <v>675583090.91666663</v>
          </cell>
        </row>
        <row r="59">
          <cell r="J59">
            <v>692372509.26666653</v>
          </cell>
        </row>
        <row r="60">
          <cell r="J60">
            <v>710839140.2166667</v>
          </cell>
        </row>
        <row r="61">
          <cell r="J61">
            <v>730166753.23333323</v>
          </cell>
        </row>
        <row r="62">
          <cell r="J62">
            <v>749416767.22500002</v>
          </cell>
        </row>
        <row r="63">
          <cell r="J63">
            <v>773149786.04999983</v>
          </cell>
        </row>
        <row r="64">
          <cell r="J64">
            <v>796132497.4666667</v>
          </cell>
        </row>
        <row r="65">
          <cell r="J65">
            <v>813088341.5916667</v>
          </cell>
        </row>
        <row r="66">
          <cell r="J66">
            <v>634812333.33333337</v>
          </cell>
        </row>
        <row r="67">
          <cell r="J67">
            <v>656082187.4083333</v>
          </cell>
        </row>
        <row r="68">
          <cell r="J68">
            <v>675583090.91666663</v>
          </cell>
        </row>
        <row r="69">
          <cell r="J69">
            <v>692372509.26666653</v>
          </cell>
        </row>
        <row r="70">
          <cell r="J70">
            <v>710839140.2166667</v>
          </cell>
        </row>
        <row r="71">
          <cell r="J71">
            <v>730166753.23333323</v>
          </cell>
        </row>
        <row r="72">
          <cell r="J72">
            <v>749416767.22500002</v>
          </cell>
        </row>
        <row r="73">
          <cell r="J73">
            <v>773149786.04999983</v>
          </cell>
        </row>
        <row r="74">
          <cell r="J74">
            <v>796132497.4666667</v>
          </cell>
        </row>
        <row r="75">
          <cell r="J75">
            <v>813088341.5916667</v>
          </cell>
        </row>
        <row r="76">
          <cell r="J76">
            <v>634812333.33333337</v>
          </cell>
        </row>
        <row r="77">
          <cell r="J77">
            <v>656082187.4083333</v>
          </cell>
        </row>
        <row r="78">
          <cell r="J78">
            <v>675583090.91666663</v>
          </cell>
        </row>
        <row r="79">
          <cell r="J79">
            <v>692372509.26666653</v>
          </cell>
        </row>
        <row r="80">
          <cell r="J80">
            <v>710839140.2166667</v>
          </cell>
        </row>
        <row r="81">
          <cell r="J81">
            <v>730166753.23333323</v>
          </cell>
        </row>
        <row r="82">
          <cell r="J82">
            <v>749416767.22500002</v>
          </cell>
        </row>
        <row r="83">
          <cell r="J83">
            <v>773149786.04999983</v>
          </cell>
        </row>
        <row r="84">
          <cell r="J84">
            <v>796132497.4666667</v>
          </cell>
        </row>
        <row r="85">
          <cell r="J85">
            <v>813088341.5916667</v>
          </cell>
        </row>
        <row r="86">
          <cell r="J86">
            <v>634812333.33333337</v>
          </cell>
        </row>
        <row r="87">
          <cell r="J87">
            <v>656082187.4083333</v>
          </cell>
        </row>
        <row r="88">
          <cell r="J88">
            <v>675583090.91666663</v>
          </cell>
        </row>
        <row r="89">
          <cell r="J89">
            <v>692372509.26666653</v>
          </cell>
        </row>
        <row r="90">
          <cell r="J90">
            <v>710839140.2166667</v>
          </cell>
        </row>
        <row r="91">
          <cell r="J91">
            <v>730166753.23333323</v>
          </cell>
        </row>
        <row r="92">
          <cell r="J92">
            <v>749416767.22500002</v>
          </cell>
        </row>
        <row r="93">
          <cell r="J93">
            <v>773149786.04999983</v>
          </cell>
        </row>
        <row r="94">
          <cell r="J94">
            <v>796132497.4666667</v>
          </cell>
        </row>
        <row r="95">
          <cell r="J95">
            <v>813088341.5916667</v>
          </cell>
        </row>
        <row r="96">
          <cell r="J96">
            <v>634812333.33333337</v>
          </cell>
        </row>
        <row r="97">
          <cell r="J97">
            <v>656082187.4083333</v>
          </cell>
        </row>
        <row r="98">
          <cell r="J98">
            <v>675583090.91666663</v>
          </cell>
        </row>
        <row r="99">
          <cell r="J99">
            <v>692372509.26666653</v>
          </cell>
        </row>
        <row r="100">
          <cell r="J100">
            <v>710839140.2166667</v>
          </cell>
        </row>
        <row r="101">
          <cell r="J101">
            <v>730166753.23333323</v>
          </cell>
        </row>
        <row r="102">
          <cell r="J102">
            <v>749416767.22500002</v>
          </cell>
        </row>
        <row r="103">
          <cell r="J103">
            <v>773149786.04999983</v>
          </cell>
        </row>
        <row r="104">
          <cell r="J104">
            <v>796132497.4666667</v>
          </cell>
        </row>
        <row r="105">
          <cell r="J105">
            <v>813088341.5916667</v>
          </cell>
        </row>
        <row r="106">
          <cell r="J106">
            <v>634812333.33333337</v>
          </cell>
        </row>
        <row r="107">
          <cell r="J107">
            <v>656082187.4083333</v>
          </cell>
        </row>
        <row r="108">
          <cell r="J108">
            <v>675583090.91666663</v>
          </cell>
        </row>
        <row r="109">
          <cell r="J109">
            <v>692372509.26666653</v>
          </cell>
        </row>
        <row r="110">
          <cell r="J110">
            <v>710839140.2166667</v>
          </cell>
        </row>
        <row r="111">
          <cell r="J111">
            <v>730166753.23333323</v>
          </cell>
        </row>
        <row r="112">
          <cell r="J112">
            <v>749416767.22500002</v>
          </cell>
        </row>
        <row r="113">
          <cell r="J113">
            <v>773149786.04999983</v>
          </cell>
        </row>
        <row r="114">
          <cell r="J114">
            <v>796132497.4666667</v>
          </cell>
        </row>
        <row r="115">
          <cell r="J115">
            <v>813088341.5916667</v>
          </cell>
        </row>
        <row r="116">
          <cell r="J116">
            <v>634812333.33333337</v>
          </cell>
        </row>
        <row r="117">
          <cell r="J117">
            <v>656082187.4083333</v>
          </cell>
        </row>
        <row r="118">
          <cell r="J118">
            <v>675583090.91666663</v>
          </cell>
        </row>
        <row r="119">
          <cell r="J119">
            <v>692372509.26666653</v>
          </cell>
        </row>
        <row r="120">
          <cell r="J120">
            <v>710839140.2166667</v>
          </cell>
        </row>
        <row r="121">
          <cell r="J121">
            <v>730166753.23333323</v>
          </cell>
        </row>
        <row r="122">
          <cell r="J122">
            <v>749416767.22500002</v>
          </cell>
        </row>
        <row r="123">
          <cell r="J123">
            <v>773149786.04999983</v>
          </cell>
        </row>
        <row r="124">
          <cell r="J124">
            <v>796132497.4666667</v>
          </cell>
        </row>
        <row r="125">
          <cell r="J125">
            <v>813088341.5916667</v>
          </cell>
        </row>
        <row r="126">
          <cell r="J126">
            <v>634812333.33333337</v>
          </cell>
        </row>
        <row r="127">
          <cell r="J127">
            <v>656082187.4083333</v>
          </cell>
        </row>
        <row r="128">
          <cell r="J128">
            <v>675583090.91666663</v>
          </cell>
        </row>
        <row r="129">
          <cell r="J129">
            <v>692372509.26666653</v>
          </cell>
        </row>
        <row r="130">
          <cell r="J130">
            <v>710839140.2166667</v>
          </cell>
        </row>
        <row r="131">
          <cell r="J131">
            <v>730166753.23333323</v>
          </cell>
        </row>
        <row r="132">
          <cell r="J132">
            <v>749416767.22500002</v>
          </cell>
        </row>
        <row r="133">
          <cell r="J133">
            <v>773149786.04999983</v>
          </cell>
        </row>
        <row r="134">
          <cell r="J134">
            <v>796132497.4666667</v>
          </cell>
        </row>
        <row r="135">
          <cell r="J135">
            <v>813088341.5916667</v>
          </cell>
        </row>
        <row r="136">
          <cell r="J136">
            <v>634812333.33333337</v>
          </cell>
        </row>
        <row r="137">
          <cell r="J137">
            <v>656082187.4083333</v>
          </cell>
        </row>
        <row r="138">
          <cell r="J138">
            <v>675583090.91666663</v>
          </cell>
        </row>
        <row r="139">
          <cell r="J139">
            <v>692372509.26666653</v>
          </cell>
        </row>
        <row r="140">
          <cell r="J140">
            <v>710839140.2166667</v>
          </cell>
        </row>
        <row r="141">
          <cell r="J141">
            <v>730166753.23333323</v>
          </cell>
        </row>
        <row r="142">
          <cell r="J142">
            <v>749416767.22500002</v>
          </cell>
        </row>
        <row r="143">
          <cell r="J143">
            <v>773149786.04999983</v>
          </cell>
        </row>
        <row r="144">
          <cell r="J144">
            <v>796132497.4666667</v>
          </cell>
        </row>
        <row r="145">
          <cell r="J145">
            <v>813088341.5916667</v>
          </cell>
        </row>
        <row r="146">
          <cell r="J146">
            <v>634812333.33333337</v>
          </cell>
        </row>
        <row r="147">
          <cell r="J147">
            <v>656082187.4083333</v>
          </cell>
        </row>
        <row r="148">
          <cell r="J148">
            <v>675583090.91666663</v>
          </cell>
        </row>
        <row r="149">
          <cell r="J149">
            <v>692372509.26666653</v>
          </cell>
        </row>
        <row r="150">
          <cell r="J150">
            <v>710839140.2166667</v>
          </cell>
        </row>
        <row r="151">
          <cell r="J151">
            <v>730166753.23333323</v>
          </cell>
        </row>
        <row r="152">
          <cell r="J152">
            <v>749416767.22500002</v>
          </cell>
        </row>
        <row r="153">
          <cell r="J153">
            <v>773149786.04999983</v>
          </cell>
        </row>
        <row r="154">
          <cell r="J154">
            <v>796132497.4666667</v>
          </cell>
        </row>
        <row r="155">
          <cell r="J155">
            <v>813088341.5916667</v>
          </cell>
        </row>
        <row r="156">
          <cell r="J156">
            <v>634812333.33333337</v>
          </cell>
        </row>
        <row r="157">
          <cell r="J157">
            <v>656082187.4083333</v>
          </cell>
        </row>
        <row r="158">
          <cell r="J158">
            <v>675583090.91666663</v>
          </cell>
        </row>
        <row r="159">
          <cell r="J159">
            <v>692372509.26666653</v>
          </cell>
        </row>
        <row r="160">
          <cell r="J160">
            <v>710839140.2166667</v>
          </cell>
        </row>
        <row r="161">
          <cell r="J161">
            <v>730166753.23333323</v>
          </cell>
        </row>
        <row r="162">
          <cell r="J162">
            <v>749416767.22500002</v>
          </cell>
        </row>
        <row r="163">
          <cell r="J163">
            <v>773149786.04999983</v>
          </cell>
        </row>
        <row r="164">
          <cell r="J164">
            <v>796132497.4666667</v>
          </cell>
        </row>
        <row r="165">
          <cell r="J165">
            <v>813088341.5916667</v>
          </cell>
        </row>
        <row r="166">
          <cell r="J166">
            <v>634812333.33333337</v>
          </cell>
        </row>
        <row r="167">
          <cell r="J167">
            <v>656082187.4083333</v>
          </cell>
        </row>
        <row r="168">
          <cell r="J168">
            <v>675583090.91666663</v>
          </cell>
        </row>
        <row r="169">
          <cell r="J169">
            <v>692372509.26666653</v>
          </cell>
        </row>
        <row r="170">
          <cell r="J170">
            <v>710839140.2166667</v>
          </cell>
        </row>
        <row r="171">
          <cell r="J171">
            <v>730166753.23333323</v>
          </cell>
        </row>
        <row r="172">
          <cell r="J172">
            <v>749416767.22500002</v>
          </cell>
        </row>
        <row r="173">
          <cell r="J173">
            <v>773149786.04999983</v>
          </cell>
        </row>
        <row r="174">
          <cell r="J174">
            <v>796132497.4666667</v>
          </cell>
        </row>
        <row r="175">
          <cell r="J175">
            <v>813088341.5916667</v>
          </cell>
        </row>
        <row r="176">
          <cell r="J176">
            <v>634812333.33333337</v>
          </cell>
        </row>
        <row r="177">
          <cell r="J177">
            <v>656082187.4083333</v>
          </cell>
        </row>
        <row r="178">
          <cell r="J178">
            <v>675583090.91666663</v>
          </cell>
        </row>
        <row r="179">
          <cell r="J179">
            <v>692372509.26666653</v>
          </cell>
        </row>
        <row r="180">
          <cell r="J180">
            <v>710839140.2166667</v>
          </cell>
        </row>
        <row r="181">
          <cell r="J181">
            <v>730166753.23333323</v>
          </cell>
        </row>
        <row r="182">
          <cell r="J182">
            <v>749416767.22500002</v>
          </cell>
        </row>
        <row r="183">
          <cell r="J183">
            <v>773149786.04999983</v>
          </cell>
        </row>
        <row r="184">
          <cell r="J184">
            <v>796132497.4666667</v>
          </cell>
        </row>
        <row r="185">
          <cell r="J185">
            <v>813088341.5916667</v>
          </cell>
        </row>
        <row r="186">
          <cell r="J186">
            <v>634812333.33333337</v>
          </cell>
        </row>
        <row r="187">
          <cell r="J187">
            <v>656082187.4083333</v>
          </cell>
        </row>
        <row r="188">
          <cell r="J188">
            <v>675583090.91666663</v>
          </cell>
        </row>
        <row r="189">
          <cell r="J189">
            <v>692372509.26666653</v>
          </cell>
        </row>
        <row r="190">
          <cell r="J190">
            <v>710839140.2166667</v>
          </cell>
        </row>
        <row r="191">
          <cell r="J191">
            <v>730166753.23333323</v>
          </cell>
        </row>
        <row r="192">
          <cell r="J192">
            <v>749416767.22500002</v>
          </cell>
        </row>
        <row r="193">
          <cell r="J193">
            <v>773149786.04999983</v>
          </cell>
        </row>
        <row r="194">
          <cell r="J194">
            <v>796132497.4666667</v>
          </cell>
        </row>
        <row r="195">
          <cell r="J195">
            <v>813088341.5916667</v>
          </cell>
        </row>
        <row r="196">
          <cell r="J196">
            <v>634812333.33333337</v>
          </cell>
        </row>
        <row r="197">
          <cell r="J197">
            <v>656082187.4083333</v>
          </cell>
        </row>
        <row r="198">
          <cell r="J198">
            <v>675583090.91666663</v>
          </cell>
        </row>
        <row r="199">
          <cell r="J199">
            <v>692372509.26666653</v>
          </cell>
        </row>
        <row r="200">
          <cell r="J200">
            <v>710839140.2166667</v>
          </cell>
        </row>
        <row r="201">
          <cell r="J201">
            <v>730166753.23333323</v>
          </cell>
        </row>
        <row r="202">
          <cell r="J202">
            <v>749416767.22500002</v>
          </cell>
        </row>
        <row r="203">
          <cell r="J203">
            <v>773149786.04999983</v>
          </cell>
        </row>
        <row r="204">
          <cell r="J204">
            <v>796132497.4666667</v>
          </cell>
        </row>
        <row r="205">
          <cell r="J205">
            <v>813088341.5916667</v>
          </cell>
        </row>
        <row r="206">
          <cell r="J206">
            <v>634812333.33333337</v>
          </cell>
        </row>
        <row r="207">
          <cell r="J207">
            <v>656082187.4083333</v>
          </cell>
        </row>
        <row r="208">
          <cell r="J208">
            <v>675583090.91666663</v>
          </cell>
        </row>
        <row r="209">
          <cell r="J209">
            <v>692372509.26666653</v>
          </cell>
        </row>
        <row r="210">
          <cell r="J210">
            <v>710839140.2166667</v>
          </cell>
        </row>
        <row r="211">
          <cell r="J211">
            <v>730166753.23333323</v>
          </cell>
        </row>
        <row r="212">
          <cell r="J212">
            <v>749416767.22500002</v>
          </cell>
        </row>
        <row r="213">
          <cell r="J213">
            <v>773149786.04999983</v>
          </cell>
        </row>
        <row r="214">
          <cell r="J214">
            <v>796132497.4666667</v>
          </cell>
        </row>
        <row r="215">
          <cell r="J215">
            <v>813088341.5916667</v>
          </cell>
        </row>
        <row r="216">
          <cell r="J216">
            <v>634812333.33333337</v>
          </cell>
        </row>
        <row r="217">
          <cell r="J217">
            <v>656082187.4083333</v>
          </cell>
        </row>
        <row r="218">
          <cell r="J218">
            <v>675583090.91666663</v>
          </cell>
        </row>
        <row r="219">
          <cell r="J219">
            <v>692372509.26666653</v>
          </cell>
        </row>
        <row r="220">
          <cell r="J220">
            <v>710839140.2166667</v>
          </cell>
        </row>
        <row r="221">
          <cell r="J221">
            <v>730166753.23333323</v>
          </cell>
        </row>
        <row r="222">
          <cell r="J222">
            <v>749416767.22500002</v>
          </cell>
        </row>
        <row r="223">
          <cell r="J223">
            <v>773149786.04999983</v>
          </cell>
        </row>
        <row r="224">
          <cell r="J224">
            <v>796132497.4666667</v>
          </cell>
        </row>
        <row r="225">
          <cell r="J225">
            <v>813088341.5916667</v>
          </cell>
        </row>
        <row r="226">
          <cell r="J226">
            <v>634812333.33333337</v>
          </cell>
        </row>
        <row r="227">
          <cell r="J227">
            <v>656082187.4083333</v>
          </cell>
        </row>
        <row r="228">
          <cell r="J228">
            <v>675583090.91666663</v>
          </cell>
        </row>
        <row r="229">
          <cell r="J229">
            <v>692372509.26666653</v>
          </cell>
        </row>
        <row r="230">
          <cell r="J230">
            <v>710839140.2166667</v>
          </cell>
        </row>
        <row r="231">
          <cell r="J231">
            <v>730166753.23333323</v>
          </cell>
        </row>
        <row r="232">
          <cell r="J232">
            <v>749416767.22500002</v>
          </cell>
        </row>
        <row r="233">
          <cell r="J233">
            <v>773149786.04999983</v>
          </cell>
        </row>
        <row r="234">
          <cell r="J234">
            <v>796132497.4666667</v>
          </cell>
        </row>
        <row r="235">
          <cell r="J235">
            <v>813088341.5916667</v>
          </cell>
        </row>
        <row r="236">
          <cell r="J236">
            <v>634812333.33333337</v>
          </cell>
        </row>
        <row r="237">
          <cell r="J237">
            <v>656082187.4083333</v>
          </cell>
        </row>
        <row r="238">
          <cell r="J238">
            <v>675583090.91666663</v>
          </cell>
        </row>
        <row r="239">
          <cell r="J239">
            <v>692372509.26666653</v>
          </cell>
        </row>
        <row r="240">
          <cell r="J240">
            <v>710839140.2166667</v>
          </cell>
        </row>
        <row r="241">
          <cell r="J241">
            <v>730166753.23333323</v>
          </cell>
        </row>
        <row r="242">
          <cell r="J242">
            <v>749416767.22500002</v>
          </cell>
        </row>
        <row r="243">
          <cell r="J243">
            <v>773149786.04999983</v>
          </cell>
        </row>
        <row r="244">
          <cell r="J244">
            <v>796132497.4666667</v>
          </cell>
        </row>
        <row r="245">
          <cell r="J245">
            <v>813088341.5916667</v>
          </cell>
        </row>
        <row r="246">
          <cell r="J246">
            <v>634812333.33333337</v>
          </cell>
        </row>
        <row r="247">
          <cell r="J247">
            <v>656082187.4083333</v>
          </cell>
        </row>
        <row r="248">
          <cell r="J248">
            <v>675583090.91666663</v>
          </cell>
        </row>
        <row r="249">
          <cell r="J249">
            <v>692372509.26666653</v>
          </cell>
        </row>
        <row r="250">
          <cell r="J250">
            <v>710839140.2166667</v>
          </cell>
        </row>
        <row r="251">
          <cell r="J251">
            <v>730166753.23333323</v>
          </cell>
        </row>
        <row r="252">
          <cell r="J252">
            <v>749416767.22500002</v>
          </cell>
        </row>
        <row r="253">
          <cell r="J253">
            <v>773149786.04999983</v>
          </cell>
        </row>
        <row r="254">
          <cell r="J254">
            <v>796132497.4666667</v>
          </cell>
        </row>
        <row r="255">
          <cell r="J255">
            <v>813088341.5916667</v>
          </cell>
        </row>
        <row r="256">
          <cell r="J256">
            <v>634812333.33333337</v>
          </cell>
        </row>
        <row r="257">
          <cell r="J257">
            <v>656082187.4083333</v>
          </cell>
        </row>
        <row r="258">
          <cell r="J258">
            <v>675583090.91666663</v>
          </cell>
        </row>
        <row r="259">
          <cell r="J259">
            <v>692372509.26666653</v>
          </cell>
        </row>
        <row r="260">
          <cell r="J260">
            <v>710839140.2166667</v>
          </cell>
        </row>
        <row r="261">
          <cell r="J261">
            <v>730166753.23333323</v>
          </cell>
        </row>
        <row r="262">
          <cell r="J262">
            <v>749416767.22500002</v>
          </cell>
        </row>
        <row r="263">
          <cell r="J263">
            <v>773149786.04999983</v>
          </cell>
        </row>
        <row r="264">
          <cell r="J264">
            <v>796132497.4666667</v>
          </cell>
        </row>
        <row r="265">
          <cell r="J265">
            <v>813088341.5916667</v>
          </cell>
        </row>
        <row r="266">
          <cell r="J266">
            <v>634812333.33333337</v>
          </cell>
        </row>
        <row r="267">
          <cell r="J267">
            <v>656082187.4083333</v>
          </cell>
        </row>
        <row r="268">
          <cell r="J268">
            <v>675583090.91666663</v>
          </cell>
        </row>
        <row r="269">
          <cell r="J269">
            <v>692372509.26666653</v>
          </cell>
        </row>
        <row r="270">
          <cell r="J270">
            <v>710839140.2166667</v>
          </cell>
        </row>
        <row r="271">
          <cell r="J271">
            <v>730166753.23333323</v>
          </cell>
        </row>
        <row r="272">
          <cell r="J272">
            <v>749416767.22500002</v>
          </cell>
        </row>
        <row r="273">
          <cell r="J273">
            <v>773149786.04999983</v>
          </cell>
        </row>
        <row r="274">
          <cell r="J274">
            <v>796132497.4666667</v>
          </cell>
        </row>
        <row r="275">
          <cell r="J275">
            <v>813088341.5916667</v>
          </cell>
        </row>
        <row r="276">
          <cell r="J276">
            <v>634812333.33333337</v>
          </cell>
        </row>
        <row r="277">
          <cell r="J277">
            <v>656082187.4083333</v>
          </cell>
        </row>
        <row r="278">
          <cell r="J278">
            <v>675583090.91666663</v>
          </cell>
        </row>
        <row r="279">
          <cell r="J279">
            <v>692372509.26666653</v>
          </cell>
        </row>
        <row r="280">
          <cell r="J280">
            <v>710839140.2166667</v>
          </cell>
        </row>
        <row r="281">
          <cell r="J281">
            <v>730166753.23333323</v>
          </cell>
        </row>
        <row r="282">
          <cell r="J282">
            <v>749416767.22500002</v>
          </cell>
        </row>
        <row r="283">
          <cell r="J283">
            <v>773149786.04999983</v>
          </cell>
        </row>
        <row r="284">
          <cell r="J284">
            <v>796132497.4666667</v>
          </cell>
        </row>
        <row r="285">
          <cell r="J285">
            <v>813088341.5916667</v>
          </cell>
        </row>
        <row r="286">
          <cell r="J286">
            <v>634812333.33333337</v>
          </cell>
        </row>
        <row r="287">
          <cell r="J287">
            <v>656082187.4083333</v>
          </cell>
        </row>
        <row r="288">
          <cell r="J288">
            <v>675583090.91666663</v>
          </cell>
        </row>
        <row r="289">
          <cell r="J289">
            <v>692372509.26666653</v>
          </cell>
        </row>
        <row r="290">
          <cell r="J290">
            <v>710839140.2166667</v>
          </cell>
        </row>
        <row r="291">
          <cell r="J291">
            <v>730166753.23333323</v>
          </cell>
        </row>
        <row r="292">
          <cell r="J292">
            <v>749416767.22500002</v>
          </cell>
        </row>
        <row r="293">
          <cell r="J293">
            <v>773149786.04999983</v>
          </cell>
        </row>
        <row r="294">
          <cell r="J294">
            <v>796132497.4666667</v>
          </cell>
        </row>
        <row r="295">
          <cell r="J295">
            <v>813088341.5916667</v>
          </cell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DB0C6-2C2B-5141-A0F9-C445247CEF2F}">
  <sheetPr>
    <outlinePr summaryBelow="0"/>
  </sheetPr>
  <dimension ref="A1:AL286"/>
  <sheetViews>
    <sheetView tabSelected="1" zoomScale="107" workbookViewId="0">
      <selection activeCell="D4" sqref="D4"/>
    </sheetView>
  </sheetViews>
  <sheetFormatPr baseColWidth="10" defaultColWidth="8.83203125" defaultRowHeight="15" x14ac:dyDescent="0.2"/>
  <cols>
    <col min="1" max="2" width="16.1640625" style="20" bestFit="1" customWidth="1"/>
    <col min="3" max="5" width="16.1640625" style="2" customWidth="1"/>
    <col min="6" max="6" width="16.1640625" style="3" bestFit="1" customWidth="1"/>
    <col min="7" max="7" width="16.1640625" style="6" customWidth="1"/>
    <col min="8" max="8" width="16.1640625" style="3" customWidth="1"/>
    <col min="9" max="10" width="16.1640625" style="3" bestFit="1" customWidth="1"/>
    <col min="11" max="11" width="16.1640625" style="1" bestFit="1" customWidth="1"/>
    <col min="12" max="12" width="16.1640625" style="8" customWidth="1"/>
    <col min="13" max="13" width="16.1640625" style="1" bestFit="1" customWidth="1"/>
    <col min="14" max="14" width="16.1640625" style="8" customWidth="1"/>
    <col min="15" max="16" width="16.1640625" style="1" bestFit="1" customWidth="1"/>
    <col min="17" max="17" width="16.1640625" style="2" bestFit="1" customWidth="1"/>
    <col min="18" max="22" width="16.1640625" style="1" bestFit="1" customWidth="1"/>
    <col min="23" max="23" width="16.1640625" style="8" customWidth="1"/>
    <col min="24" max="24" width="16.1640625" style="1" customWidth="1"/>
    <col min="25" max="25" width="16.1640625" style="1" bestFit="1" customWidth="1"/>
    <col min="26" max="26" width="16.1640625" style="8" customWidth="1"/>
    <col min="27" max="27" width="16.1640625" style="1" customWidth="1"/>
    <col min="28" max="29" width="16.1640625" style="2" bestFit="1" customWidth="1"/>
    <col min="30" max="32" width="16.1640625" style="1" bestFit="1" customWidth="1"/>
    <col min="33" max="34" width="16.1640625" style="1" customWidth="1"/>
    <col min="35" max="38" width="16.1640625" style="1" bestFit="1" customWidth="1"/>
  </cols>
  <sheetData>
    <row r="1" spans="1:38" ht="20.25" customHeight="1" x14ac:dyDescent="0.2">
      <c r="A1" s="18" t="s">
        <v>52</v>
      </c>
      <c r="B1" s="18" t="s">
        <v>51</v>
      </c>
      <c r="C1" s="10" t="s">
        <v>59</v>
      </c>
      <c r="D1" s="10" t="s">
        <v>60</v>
      </c>
      <c r="E1" s="10" t="s">
        <v>61</v>
      </c>
      <c r="F1" s="10" t="s">
        <v>50</v>
      </c>
      <c r="G1" s="11" t="s">
        <v>54</v>
      </c>
      <c r="H1" s="10" t="s">
        <v>49</v>
      </c>
      <c r="I1" s="12" t="s">
        <v>48</v>
      </c>
      <c r="J1" s="13" t="s">
        <v>47</v>
      </c>
      <c r="K1" s="10" t="s">
        <v>46</v>
      </c>
      <c r="L1" s="11" t="s">
        <v>58</v>
      </c>
      <c r="M1" s="10" t="s">
        <v>45</v>
      </c>
      <c r="N1" s="11" t="s">
        <v>57</v>
      </c>
      <c r="O1" s="10" t="s">
        <v>44</v>
      </c>
      <c r="P1" s="12" t="s">
        <v>43</v>
      </c>
      <c r="Q1" s="10" t="s">
        <v>42</v>
      </c>
      <c r="R1" s="10" t="s">
        <v>41</v>
      </c>
      <c r="S1" s="10" t="s">
        <v>40</v>
      </c>
      <c r="T1" s="12" t="s">
        <v>39</v>
      </c>
      <c r="U1" s="12" t="s">
        <v>38</v>
      </c>
      <c r="V1" s="10" t="s">
        <v>37</v>
      </c>
      <c r="W1" s="11" t="s">
        <v>55</v>
      </c>
      <c r="X1" s="10" t="s">
        <v>36</v>
      </c>
      <c r="Y1" s="10" t="s">
        <v>35</v>
      </c>
      <c r="Z1" s="11" t="s">
        <v>56</v>
      </c>
      <c r="AA1" s="10" t="s">
        <v>53</v>
      </c>
      <c r="AB1" s="10" t="s">
        <v>34</v>
      </c>
      <c r="AC1" s="10" t="s">
        <v>33</v>
      </c>
      <c r="AD1" s="10" t="s">
        <v>32</v>
      </c>
      <c r="AE1" s="10" t="s">
        <v>31</v>
      </c>
      <c r="AF1" s="10" t="s">
        <v>30</v>
      </c>
      <c r="AG1" s="10" t="s">
        <v>62</v>
      </c>
      <c r="AH1" s="10" t="s">
        <v>63</v>
      </c>
      <c r="AI1" s="10" t="s">
        <v>29</v>
      </c>
      <c r="AJ1" s="10" t="s">
        <v>28</v>
      </c>
      <c r="AK1" s="10" t="s">
        <v>27</v>
      </c>
      <c r="AL1" s="10" t="s">
        <v>26</v>
      </c>
    </row>
    <row r="2" spans="1:38" ht="17.25" customHeight="1" x14ac:dyDescent="0.2">
      <c r="A2" s="19" t="s">
        <v>25</v>
      </c>
      <c r="B2" s="19">
        <v>2014</v>
      </c>
      <c r="C2" s="14">
        <v>1</v>
      </c>
      <c r="D2" s="14">
        <v>0</v>
      </c>
      <c r="E2" s="14">
        <v>0</v>
      </c>
      <c r="F2" s="14">
        <v>1294.83</v>
      </c>
      <c r="G2" s="16">
        <f>(F2-AVERAGE($F$2:$F$261))/STDEV($F$2:$F$261)</f>
        <v>0.10583316814617144</v>
      </c>
      <c r="H2" s="14">
        <f t="shared" ref="H2:H65" si="0">LN(F2)</f>
        <v>7.1661346913851611</v>
      </c>
      <c r="I2" s="17">
        <v>645277</v>
      </c>
      <c r="J2" s="15">
        <v>1819</v>
      </c>
      <c r="K2" s="14">
        <f t="shared" ref="K2:K65" si="1">(J2/I2)*100</f>
        <v>0.28189444223178572</v>
      </c>
      <c r="L2" s="16">
        <f>(K2-AVERAGE($K$2:$K$261))/STDEV($K$2:$K$261)</f>
        <v>0.91569055879293704</v>
      </c>
      <c r="M2" s="14">
        <v>1.0281149308624065</v>
      </c>
      <c r="N2" s="16">
        <f>(M2-AVERAGE($M$2:$M$261))/STDEV($M$2:$M$261)</f>
        <v>6.0154245243822686E-2</v>
      </c>
      <c r="O2" s="14">
        <v>1.95</v>
      </c>
      <c r="P2" s="17">
        <v>0</v>
      </c>
      <c r="Q2" s="14">
        <v>114360</v>
      </c>
      <c r="R2" s="14">
        <f>[1]Feuil1!J36/panel_choc_taux_suisse_2014_202!Q2</f>
        <v>5550.999766818235</v>
      </c>
      <c r="S2" s="14">
        <v>28.5</v>
      </c>
      <c r="T2" s="17">
        <f t="shared" ref="T2:T65" si="2">(R2-AVERAGE($R$2:$R$261))/STDEV($R$2:$R$261)</f>
        <v>-0.85084974672981706</v>
      </c>
      <c r="U2" s="17">
        <f t="shared" ref="U2:U65" si="3">(S2-AVERAGE($S$2:$S$261))/STDEV($S$2:$S$261)</f>
        <v>-1.2336049790322718</v>
      </c>
      <c r="V2" s="14">
        <v>80757.232799999998</v>
      </c>
      <c r="W2" s="16">
        <f>(V2-AVERAGE($V$2:$V$261))/STDEV($V$2:$V$261)</f>
        <v>-0.4447083018164249</v>
      </c>
      <c r="X2" s="14">
        <f t="shared" ref="X2:X65" si="4">LN(V2)</f>
        <v>11.299202807352362</v>
      </c>
      <c r="Y2" s="14">
        <v>2.8</v>
      </c>
      <c r="Z2" s="16">
        <f>(Y2-AVERAGE($Y$2:$Y$261))/STDEV($Y$2:$Y$261)</f>
        <v>0.22959393971188854</v>
      </c>
      <c r="AA2" s="14">
        <f>LN(Y2)</f>
        <v>1.0296194171811581</v>
      </c>
      <c r="AB2" s="14">
        <v>104387</v>
      </c>
      <c r="AC2" s="17">
        <v>4937</v>
      </c>
      <c r="AD2" s="14">
        <f t="shared" ref="AD2:AD65" si="5">AC2/I2</f>
        <v>7.6509777971320841E-3</v>
      </c>
      <c r="AE2" s="14">
        <f t="shared" ref="AE2:AE65" si="6">0.5*T2+0.5*U2</f>
        <v>-1.0422273628810443</v>
      </c>
      <c r="AF2" s="14">
        <f>AE2*P2</f>
        <v>0</v>
      </c>
      <c r="AG2" s="14">
        <f>LN(1+AF2)</f>
        <v>0</v>
      </c>
      <c r="AH2" s="14">
        <f>(AF2-AVERAGE($AF$2:$AF$261))/STDEV($AF$2:$AF$261)</f>
        <v>5.5297297030243815E-3</v>
      </c>
      <c r="AI2" s="14">
        <f>AF2*Q2</f>
        <v>0</v>
      </c>
      <c r="AJ2" s="14">
        <f>AI2*R2</f>
        <v>0</v>
      </c>
      <c r="AK2" s="14">
        <v>0</v>
      </c>
      <c r="AL2" s="14">
        <v>0</v>
      </c>
    </row>
    <row r="3" spans="1:38" ht="17.25" customHeight="1" x14ac:dyDescent="0.2">
      <c r="A3" s="19" t="s">
        <v>25</v>
      </c>
      <c r="B3" s="19">
        <v>2015</v>
      </c>
      <c r="C3" s="14">
        <v>1</v>
      </c>
      <c r="D3" s="14">
        <v>0</v>
      </c>
      <c r="E3" s="14">
        <v>0</v>
      </c>
      <c r="F3" s="14">
        <v>1258.33</v>
      </c>
      <c r="G3" s="16">
        <f t="shared" ref="G3:G66" si="7">(F3-AVERAGE($F$2:$F$261))/STDEV($F$2:$F$261)</f>
        <v>-7.9186785487638273E-2</v>
      </c>
      <c r="H3" s="14">
        <f t="shared" si="0"/>
        <v>7.137540724004884</v>
      </c>
      <c r="I3" s="17">
        <v>653675</v>
      </c>
      <c r="J3" s="15">
        <v>1501</v>
      </c>
      <c r="K3" s="14">
        <f t="shared" si="1"/>
        <v>0.22962481355413622</v>
      </c>
      <c r="L3" s="16">
        <f t="shared" ref="L3:L66" si="8">(K3-AVERAGE($K$2:$K$261))/STDEV($K$2:$K$261)</f>
        <v>0.75396915460271752</v>
      </c>
      <c r="M3" s="14">
        <v>1.0174024043472965</v>
      </c>
      <c r="N3" s="16">
        <f t="shared" ref="N3:N66" si="9">(M3-AVERAGE($M$2:$M$261))/STDEV($M$2:$M$261)</f>
        <v>-0.38706256531446542</v>
      </c>
      <c r="O3" s="14">
        <v>1.84</v>
      </c>
      <c r="P3" s="17">
        <f t="shared" ref="P3:P11" si="10">O3-O2</f>
        <v>-0.10999999999999988</v>
      </c>
      <c r="Q3" s="14">
        <v>117510</v>
      </c>
      <c r="R3" s="14">
        <f>[1]Feuil1!J37/panel_choc_taux_suisse_2014_202!Q3</f>
        <v>5583.2030244943689</v>
      </c>
      <c r="S3" s="14">
        <v>29.1</v>
      </c>
      <c r="T3" s="17">
        <f t="shared" si="2"/>
        <v>-0.85030820064560875</v>
      </c>
      <c r="U3" s="17">
        <f t="shared" si="3"/>
        <v>-1.1730275499435552</v>
      </c>
      <c r="V3" s="14">
        <v>81080.261729999998</v>
      </c>
      <c r="W3" s="16">
        <f t="shared" ref="W3:W66" si="11">(V3-AVERAGE($V$2:$V$261))/STDEV($V$2:$V$261)</f>
        <v>-0.42638089307016047</v>
      </c>
      <c r="X3" s="14">
        <f t="shared" si="4"/>
        <v>11.303194828607101</v>
      </c>
      <c r="Y3" s="14">
        <v>3</v>
      </c>
      <c r="Z3" s="16">
        <f t="shared" ref="Z3:Z66" si="12">(Y3-AVERAGE($Y$2:$Y$261))/STDEV($Y$2:$Y$261)</f>
        <v>0.40187222059238209</v>
      </c>
      <c r="AA3" s="14">
        <f t="shared" ref="AA3:AA66" si="13">LN(Y3)</f>
        <v>1.0986122886681098</v>
      </c>
      <c r="AB3" s="14">
        <v>107352</v>
      </c>
      <c r="AC3" s="17">
        <v>4839</v>
      </c>
      <c r="AD3" s="14">
        <f t="shared" si="5"/>
        <v>7.4027613110490683E-3</v>
      </c>
      <c r="AE3" s="14">
        <f t="shared" si="6"/>
        <v>-1.011667875294582</v>
      </c>
      <c r="AF3" s="14">
        <f t="shared" ref="AF3:AF66" si="14">AE3*P3</f>
        <v>0.11128346628240389</v>
      </c>
      <c r="AG3" s="14">
        <f t="shared" ref="AG3:AG66" si="15">LN(1+AF3)</f>
        <v>0.10551562328218021</v>
      </c>
      <c r="AH3" s="14">
        <f t="shared" ref="AH3:AH66" si="16">(AF3-AVERAGE($AF$2:$AF$261))/STDEV($AF$2:$AF$261)</f>
        <v>1.1499280816216242</v>
      </c>
      <c r="AI3" s="14">
        <f t="shared" ref="AI3:AI11" si="17">LN(F3)-LN(F2)</f>
        <v>-2.8593967380277086E-2</v>
      </c>
      <c r="AJ3" s="14">
        <f t="shared" ref="AJ3:AJ11" si="18">K3-K2</f>
        <v>-5.2269628677649504E-2</v>
      </c>
      <c r="AK3" s="14">
        <f t="shared" ref="AK3:AK11" si="19">Y3-Y2</f>
        <v>0.20000000000000018</v>
      </c>
      <c r="AL3" s="14">
        <f t="shared" ref="AL3:AL11" si="20">LN(V3)-LN(V2)</f>
        <v>3.9920212547386313E-3</v>
      </c>
    </row>
    <row r="4" spans="1:38" ht="17.25" customHeight="1" x14ac:dyDescent="0.2">
      <c r="A4" s="19" t="s">
        <v>25</v>
      </c>
      <c r="B4" s="19">
        <v>2016</v>
      </c>
      <c r="C4" s="14">
        <v>1</v>
      </c>
      <c r="D4" s="14">
        <v>0</v>
      </c>
      <c r="E4" s="14">
        <v>0</v>
      </c>
      <c r="F4" s="14">
        <v>1277</v>
      </c>
      <c r="G4" s="16">
        <f t="shared" si="7"/>
        <v>1.5452188056012161E-2</v>
      </c>
      <c r="H4" s="14">
        <f t="shared" si="0"/>
        <v>7.1522688560325394</v>
      </c>
      <c r="I4" s="17">
        <v>663462</v>
      </c>
      <c r="J4" s="15">
        <v>2036</v>
      </c>
      <c r="K4" s="14">
        <f t="shared" si="1"/>
        <v>0.30687514884047618</v>
      </c>
      <c r="L4" s="16">
        <f t="shared" si="8"/>
        <v>0.99298046982972199</v>
      </c>
      <c r="M4" s="14">
        <v>0.98347652295718835</v>
      </c>
      <c r="N4" s="16">
        <f t="shared" si="9"/>
        <v>-1.8033693953850858</v>
      </c>
      <c r="O4" s="14">
        <v>1.71</v>
      </c>
      <c r="P4" s="17">
        <f t="shared" si="10"/>
        <v>-0.13000000000000012</v>
      </c>
      <c r="Q4" s="14">
        <v>118803</v>
      </c>
      <c r="R4" s="14">
        <f>[1]Feuil1!J38/panel_choc_taux_suisse_2014_202!Q4</f>
        <v>5686.582753942801</v>
      </c>
      <c r="S4" s="14">
        <v>29.4</v>
      </c>
      <c r="T4" s="17">
        <f t="shared" si="2"/>
        <v>-0.84856971542053128</v>
      </c>
      <c r="U4" s="17">
        <f t="shared" si="3"/>
        <v>-1.1427388353991972</v>
      </c>
      <c r="V4" s="14">
        <v>81647.823560000004</v>
      </c>
      <c r="W4" s="16">
        <f t="shared" si="11"/>
        <v>-0.39417963590354083</v>
      </c>
      <c r="X4" s="14">
        <f t="shared" si="4"/>
        <v>11.310170442317682</v>
      </c>
      <c r="Y4" s="14">
        <v>3.2</v>
      </c>
      <c r="Z4" s="16">
        <f t="shared" si="12"/>
        <v>0.57415050147287561</v>
      </c>
      <c r="AA4" s="14">
        <f t="shared" si="13"/>
        <v>1.1631508098056809</v>
      </c>
      <c r="AB4" s="14">
        <v>110298</v>
      </c>
      <c r="AC4" s="17">
        <v>5011</v>
      </c>
      <c r="AD4" s="14">
        <f t="shared" si="5"/>
        <v>7.5528063400767493E-3</v>
      </c>
      <c r="AE4" s="14">
        <f t="shared" si="6"/>
        <v>-0.99565427540986429</v>
      </c>
      <c r="AF4" s="14">
        <f t="shared" si="14"/>
        <v>0.12943505580328246</v>
      </c>
      <c r="AG4" s="14">
        <f t="shared" si="15"/>
        <v>0.1217175570907055</v>
      </c>
      <c r="AH4" s="14">
        <f t="shared" si="16"/>
        <v>1.3365923708133503</v>
      </c>
      <c r="AI4" s="14">
        <f t="shared" si="17"/>
        <v>1.4728132027655327E-2</v>
      </c>
      <c r="AJ4" s="14">
        <f t="shared" si="18"/>
        <v>7.7250335286339955E-2</v>
      </c>
      <c r="AK4" s="14">
        <f t="shared" si="19"/>
        <v>0.20000000000000018</v>
      </c>
      <c r="AL4" s="14">
        <f t="shared" si="20"/>
        <v>6.9756137105816407E-3</v>
      </c>
    </row>
    <row r="5" spans="1:38" ht="17.25" customHeight="1" x14ac:dyDescent="0.2">
      <c r="A5" s="19" t="s">
        <v>25</v>
      </c>
      <c r="B5" s="19">
        <v>2017</v>
      </c>
      <c r="C5" s="14">
        <v>1</v>
      </c>
      <c r="D5" s="14">
        <v>0</v>
      </c>
      <c r="E5" s="14">
        <v>0</v>
      </c>
      <c r="F5" s="14">
        <v>1274.5</v>
      </c>
      <c r="G5" s="16">
        <f t="shared" si="7"/>
        <v>2.7795884920525918E-3</v>
      </c>
      <c r="H5" s="14">
        <f t="shared" si="0"/>
        <v>7.1503092238161701</v>
      </c>
      <c r="I5" s="17">
        <v>670988</v>
      </c>
      <c r="J5" s="15">
        <v>2175</v>
      </c>
      <c r="K5" s="14">
        <f t="shared" si="1"/>
        <v>0.32414886704382195</v>
      </c>
      <c r="L5" s="16">
        <f t="shared" si="8"/>
        <v>1.0464250806697786</v>
      </c>
      <c r="M5" s="14">
        <v>1.0635156673797794</v>
      </c>
      <c r="N5" s="16">
        <f t="shared" si="9"/>
        <v>1.5380319853253162</v>
      </c>
      <c r="O5" s="14">
        <v>1.56</v>
      </c>
      <c r="P5" s="17">
        <f t="shared" si="10"/>
        <v>-0.14999999999999991</v>
      </c>
      <c r="Q5" s="14">
        <v>119226</v>
      </c>
      <c r="R5" s="14">
        <f>[1]Feuil1!J39/panel_choc_taux_suisse_2014_202!Q5</f>
        <v>5807.2275281118764</v>
      </c>
      <c r="S5" s="14">
        <v>29.2</v>
      </c>
      <c r="T5" s="17">
        <f t="shared" si="2"/>
        <v>-0.84654089257010612</v>
      </c>
      <c r="U5" s="17">
        <f t="shared" si="3"/>
        <v>-1.1629313117621027</v>
      </c>
      <c r="V5" s="14">
        <v>81974.414850000001</v>
      </c>
      <c r="W5" s="16">
        <f t="shared" si="11"/>
        <v>-0.37565011266610282</v>
      </c>
      <c r="X5" s="14">
        <f t="shared" si="4"/>
        <v>11.314162463535498</v>
      </c>
      <c r="Y5" s="14">
        <v>3</v>
      </c>
      <c r="Z5" s="16">
        <f t="shared" si="12"/>
        <v>0.40187222059238209</v>
      </c>
      <c r="AA5" s="14">
        <f t="shared" si="13"/>
        <v>1.0986122886681098</v>
      </c>
      <c r="AB5" s="14">
        <v>116424</v>
      </c>
      <c r="AC5" s="17">
        <v>5680</v>
      </c>
      <c r="AD5" s="14">
        <f t="shared" si="5"/>
        <v>8.4651290336041785E-3</v>
      </c>
      <c r="AE5" s="14">
        <f t="shared" si="6"/>
        <v>-1.0047361021661043</v>
      </c>
      <c r="AF5" s="14">
        <f t="shared" si="14"/>
        <v>0.15071041532491555</v>
      </c>
      <c r="AG5" s="14">
        <f t="shared" si="15"/>
        <v>0.14037950410110367</v>
      </c>
      <c r="AH5" s="14">
        <f t="shared" si="16"/>
        <v>1.5553803649907245</v>
      </c>
      <c r="AI5" s="14">
        <f t="shared" si="17"/>
        <v>-1.9596322163693003E-3</v>
      </c>
      <c r="AJ5" s="14">
        <f t="shared" si="18"/>
        <v>1.7273718203345778E-2</v>
      </c>
      <c r="AK5" s="14">
        <f t="shared" si="19"/>
        <v>-0.20000000000000018</v>
      </c>
      <c r="AL5" s="14">
        <f t="shared" si="20"/>
        <v>3.9920212178152781E-3</v>
      </c>
    </row>
    <row r="6" spans="1:38" ht="17.25" customHeight="1" x14ac:dyDescent="0.2">
      <c r="A6" s="19" t="s">
        <v>25</v>
      </c>
      <c r="B6" s="19">
        <v>2018</v>
      </c>
      <c r="C6" s="14">
        <v>1</v>
      </c>
      <c r="D6" s="14">
        <v>0</v>
      </c>
      <c r="E6" s="14">
        <v>0</v>
      </c>
      <c r="F6" s="14">
        <v>1305.83</v>
      </c>
      <c r="G6" s="16">
        <f>(F6-AVERAGE($F$2:$F$261))/STDEV($F$2:$F$261)</f>
        <v>0.16159260622759355</v>
      </c>
      <c r="H6" s="14">
        <f t="shared" si="0"/>
        <v>7.1745941329104355</v>
      </c>
      <c r="I6" s="17">
        <v>678207</v>
      </c>
      <c r="J6" s="15">
        <v>1875</v>
      </c>
      <c r="K6" s="14">
        <f t="shared" si="1"/>
        <v>0.27646426533491986</v>
      </c>
      <c r="L6" s="16">
        <f t="shared" si="8"/>
        <v>0.89888967738285075</v>
      </c>
      <c r="M6" s="14">
        <v>1.0301138707197743</v>
      </c>
      <c r="N6" s="16">
        <f t="shared" si="9"/>
        <v>0.14360416774800241</v>
      </c>
      <c r="O6" s="14">
        <v>1.5</v>
      </c>
      <c r="P6" s="17">
        <f t="shared" si="10"/>
        <v>-6.0000000000000053E-2</v>
      </c>
      <c r="Q6" s="14">
        <v>114635</v>
      </c>
      <c r="R6" s="14">
        <f>[1]Feuil1!J40/panel_choc_taux_suisse_2014_202!Q6</f>
        <v>6200.8910037655751</v>
      </c>
      <c r="S6" s="14">
        <v>27.5</v>
      </c>
      <c r="T6" s="17">
        <f t="shared" si="2"/>
        <v>-0.83992085071346778</v>
      </c>
      <c r="U6" s="17">
        <f t="shared" si="3"/>
        <v>-1.3345673608467994</v>
      </c>
      <c r="V6" s="14">
        <v>82384.286930000002</v>
      </c>
      <c r="W6" s="16">
        <f t="shared" si="11"/>
        <v>-0.35239556037618369</v>
      </c>
      <c r="X6" s="14">
        <f t="shared" si="4"/>
        <v>11.319150005116331</v>
      </c>
      <c r="Y6" s="14">
        <v>2.6</v>
      </c>
      <c r="Z6" s="16">
        <f t="shared" si="12"/>
        <v>5.7315658831395402E-2</v>
      </c>
      <c r="AA6" s="14">
        <f t="shared" si="13"/>
        <v>0.95551144502743635</v>
      </c>
      <c r="AB6" s="14">
        <v>119708</v>
      </c>
      <c r="AC6" s="17">
        <v>5113</v>
      </c>
      <c r="AD6" s="14">
        <f t="shared" si="5"/>
        <v>7.5389962061730414E-3</v>
      </c>
      <c r="AE6" s="14">
        <f t="shared" si="6"/>
        <v>-1.0872441057801336</v>
      </c>
      <c r="AF6" s="14">
        <f t="shared" si="14"/>
        <v>6.5234646346808076E-2</v>
      </c>
      <c r="AG6" s="14">
        <f t="shared" si="15"/>
        <v>6.3195100101624754E-2</v>
      </c>
      <c r="AH6" s="14">
        <f t="shared" si="16"/>
        <v>0.67637890668524969</v>
      </c>
      <c r="AI6" s="14">
        <f t="shared" si="17"/>
        <v>2.4284909094265394E-2</v>
      </c>
      <c r="AJ6" s="14">
        <f t="shared" si="18"/>
        <v>-4.7684601708902097E-2</v>
      </c>
      <c r="AK6" s="14">
        <f t="shared" si="19"/>
        <v>-0.39999999999999991</v>
      </c>
      <c r="AL6" s="14">
        <f t="shared" si="20"/>
        <v>4.9875415808333656E-3</v>
      </c>
    </row>
    <row r="7" spans="1:38" ht="17.25" customHeight="1" x14ac:dyDescent="0.2">
      <c r="A7" s="19" t="s">
        <v>25</v>
      </c>
      <c r="B7" s="19">
        <v>2019</v>
      </c>
      <c r="C7" s="14">
        <v>1</v>
      </c>
      <c r="D7" s="14">
        <v>0</v>
      </c>
      <c r="E7" s="14">
        <v>0</v>
      </c>
      <c r="F7" s="14">
        <v>1318.33</v>
      </c>
      <c r="G7" s="16">
        <f t="shared" si="7"/>
        <v>0.2249556040473914</v>
      </c>
      <c r="H7" s="14">
        <f t="shared" si="0"/>
        <v>7.184121063085442</v>
      </c>
      <c r="I7" s="17">
        <v>685845</v>
      </c>
      <c r="J7" s="15">
        <v>2041</v>
      </c>
      <c r="K7" s="14">
        <f t="shared" si="1"/>
        <v>0.29758910541011457</v>
      </c>
      <c r="L7" s="16">
        <f t="shared" si="8"/>
        <v>0.96424959836723567</v>
      </c>
      <c r="M7" s="14">
        <v>1.036888899675622</v>
      </c>
      <c r="N7" s="16">
        <f t="shared" si="9"/>
        <v>0.42644191258817377</v>
      </c>
      <c r="O7" s="14">
        <v>1.43</v>
      </c>
      <c r="P7" s="17">
        <f t="shared" si="10"/>
        <v>-7.0000000000000062E-2</v>
      </c>
      <c r="Q7" s="14">
        <v>116235</v>
      </c>
      <c r="R7" s="14">
        <f>[1]Feuil1!J41/panel_choc_taux_suisse_2014_202!Q7</f>
        <v>6281.8148856483267</v>
      </c>
      <c r="S7" s="14">
        <v>27.7</v>
      </c>
      <c r="T7" s="17">
        <f t="shared" si="2"/>
        <v>-0.83855999425002292</v>
      </c>
      <c r="U7" s="17">
        <f t="shared" si="3"/>
        <v>-1.3143748844838938</v>
      </c>
      <c r="V7" s="14">
        <v>83126</v>
      </c>
      <c r="W7" s="16">
        <f t="shared" si="11"/>
        <v>-0.31031363722974409</v>
      </c>
      <c r="X7" s="14">
        <f t="shared" si="4"/>
        <v>11.328112807960983</v>
      </c>
      <c r="Y7" s="14">
        <v>2.5</v>
      </c>
      <c r="Z7" s="16">
        <f t="shared" si="12"/>
        <v>-2.882348160885137E-2</v>
      </c>
      <c r="AA7" s="14">
        <f t="shared" si="13"/>
        <v>0.91629073187415511</v>
      </c>
      <c r="AB7" s="14">
        <v>123012</v>
      </c>
      <c r="AC7" s="17">
        <v>4775</v>
      </c>
      <c r="AD7" s="14">
        <f t="shared" si="5"/>
        <v>6.9622144945286468E-3</v>
      </c>
      <c r="AE7" s="14">
        <f t="shared" si="6"/>
        <v>-1.0764674393669584</v>
      </c>
      <c r="AF7" s="14">
        <f>AE7*P7</f>
        <v>7.5352720755687164E-2</v>
      </c>
      <c r="AG7" s="14">
        <f t="shared" si="15"/>
        <v>7.2648720093418828E-2</v>
      </c>
      <c r="AH7" s="14">
        <f t="shared" si="16"/>
        <v>0.78042947290976594</v>
      </c>
      <c r="AI7" s="14">
        <f t="shared" si="17"/>
        <v>9.5269301750064983E-3</v>
      </c>
      <c r="AJ7" s="14">
        <f t="shared" si="18"/>
        <v>2.1124840075194717E-2</v>
      </c>
      <c r="AK7" s="14">
        <f t="shared" si="19"/>
        <v>-0.10000000000000009</v>
      </c>
      <c r="AL7" s="14">
        <f t="shared" si="20"/>
        <v>8.9628028446515629E-3</v>
      </c>
    </row>
    <row r="8" spans="1:38" ht="17.25" customHeight="1" x14ac:dyDescent="0.2">
      <c r="A8" s="19" t="s">
        <v>25</v>
      </c>
      <c r="B8" s="19">
        <v>2020</v>
      </c>
      <c r="C8" s="14">
        <v>1</v>
      </c>
      <c r="D8" s="14">
        <v>0</v>
      </c>
      <c r="E8" s="14">
        <v>0</v>
      </c>
      <c r="F8" s="14">
        <v>1335.17</v>
      </c>
      <c r="G8" s="16">
        <f t="shared" si="7"/>
        <v>0.31031823471022379</v>
      </c>
      <c r="H8" s="14">
        <f t="shared" si="0"/>
        <v>7.1968139035511651</v>
      </c>
      <c r="I8" s="17">
        <v>694072</v>
      </c>
      <c r="J8" s="15">
        <v>2769</v>
      </c>
      <c r="K8" s="14">
        <f t="shared" si="1"/>
        <v>0.39894996484514572</v>
      </c>
      <c r="L8" s="16">
        <f t="shared" si="8"/>
        <v>1.2778584938666215</v>
      </c>
      <c r="M8" s="14">
        <v>1.0413346451454319</v>
      </c>
      <c r="N8" s="16">
        <f t="shared" si="9"/>
        <v>0.61203884966534006</v>
      </c>
      <c r="O8" s="14">
        <v>1.33</v>
      </c>
      <c r="P8" s="17">
        <f t="shared" si="10"/>
        <v>-9.9999999999999867E-2</v>
      </c>
      <c r="Q8" s="14">
        <v>113779</v>
      </c>
      <c r="R8" s="14">
        <f>[1]Feuil1!J42/panel_choc_taux_suisse_2014_202!Q8</f>
        <v>6586.6000511957391</v>
      </c>
      <c r="S8" s="14">
        <v>27.4</v>
      </c>
      <c r="T8" s="17">
        <f t="shared" si="2"/>
        <v>-0.83343457449942027</v>
      </c>
      <c r="U8" s="17">
        <f t="shared" si="3"/>
        <v>-1.3446635990282523</v>
      </c>
      <c r="V8" s="14">
        <v>83790.751470000003</v>
      </c>
      <c r="W8" s="16">
        <f t="shared" si="11"/>
        <v>-0.27259821680170315</v>
      </c>
      <c r="X8" s="14">
        <f t="shared" si="4"/>
        <v>11.336077916059775</v>
      </c>
      <c r="Y8" s="14">
        <v>3.4</v>
      </c>
      <c r="Z8" s="16">
        <f t="shared" si="12"/>
        <v>0.74642878235336874</v>
      </c>
      <c r="AA8" s="14">
        <f t="shared" si="13"/>
        <v>1.2237754316221157</v>
      </c>
      <c r="AB8" s="14">
        <v>126168</v>
      </c>
      <c r="AC8" s="17">
        <v>3771</v>
      </c>
      <c r="AD8" s="14">
        <f t="shared" si="5"/>
        <v>5.4331539091045308E-3</v>
      </c>
      <c r="AE8" s="14">
        <f t="shared" si="6"/>
        <v>-1.0890490867638363</v>
      </c>
      <c r="AF8" s="14">
        <f t="shared" si="14"/>
        <v>0.10890490867638349</v>
      </c>
      <c r="AG8" s="14">
        <f t="shared" si="15"/>
        <v>0.10337295958495014</v>
      </c>
      <c r="AH8" s="14">
        <f t="shared" si="16"/>
        <v>1.1254678675825904</v>
      </c>
      <c r="AI8" s="14">
        <f t="shared" si="17"/>
        <v>1.2692840465723165E-2</v>
      </c>
      <c r="AJ8" s="14">
        <f t="shared" si="18"/>
        <v>0.10136085943503115</v>
      </c>
      <c r="AK8" s="14">
        <f t="shared" si="19"/>
        <v>0.89999999999999991</v>
      </c>
      <c r="AL8" s="14">
        <f t="shared" si="20"/>
        <v>7.9651080987925837E-3</v>
      </c>
    </row>
    <row r="9" spans="1:38" ht="17.25" customHeight="1" x14ac:dyDescent="0.2">
      <c r="A9" s="19" t="s">
        <v>25</v>
      </c>
      <c r="B9" s="19">
        <v>2021</v>
      </c>
      <c r="C9" s="14">
        <v>1</v>
      </c>
      <c r="D9" s="14">
        <v>0</v>
      </c>
      <c r="E9" s="14">
        <v>0</v>
      </c>
      <c r="F9" s="14">
        <v>1341.67</v>
      </c>
      <c r="G9" s="16">
        <f t="shared" si="7"/>
        <v>0.34326699357651869</v>
      </c>
      <c r="H9" s="14">
        <f t="shared" si="0"/>
        <v>7.2016703856535171</v>
      </c>
      <c r="I9" s="17">
        <v>703086</v>
      </c>
      <c r="J9" s="15">
        <v>3429</v>
      </c>
      <c r="K9" s="14">
        <f t="shared" si="1"/>
        <v>0.48770705148445564</v>
      </c>
      <c r="L9" s="16">
        <f t="shared" si="8"/>
        <v>1.5524715157356652</v>
      </c>
      <c r="M9" s="14">
        <v>1.0457435779736526</v>
      </c>
      <c r="N9" s="16">
        <f t="shared" si="9"/>
        <v>0.79609896607405228</v>
      </c>
      <c r="O9" s="14">
        <v>1.25</v>
      </c>
      <c r="P9" s="17">
        <f t="shared" si="10"/>
        <v>-8.0000000000000071E-2</v>
      </c>
      <c r="Q9" s="14">
        <v>116256</v>
      </c>
      <c r="R9" s="14">
        <f>[1]Feuil1!J43/panel_choc_taux_suisse_2014_202!Q9</f>
        <v>6650.4076008980164</v>
      </c>
      <c r="S9" s="14">
        <v>27.6</v>
      </c>
      <c r="T9" s="17">
        <f t="shared" si="2"/>
        <v>-0.83236155483688434</v>
      </c>
      <c r="U9" s="17">
        <f t="shared" si="3"/>
        <v>-1.3244711226653465</v>
      </c>
      <c r="V9" s="14">
        <v>83623.169970000003</v>
      </c>
      <c r="W9" s="16">
        <f t="shared" si="11"/>
        <v>-0.28210614121210231</v>
      </c>
      <c r="X9" s="14">
        <f t="shared" si="4"/>
        <v>11.334075913424261</v>
      </c>
      <c r="Y9" s="14">
        <v>3.4</v>
      </c>
      <c r="Z9" s="16">
        <f t="shared" si="12"/>
        <v>0.74642878235336874</v>
      </c>
      <c r="AA9" s="14">
        <f t="shared" si="13"/>
        <v>1.2237754316221157</v>
      </c>
      <c r="AB9" s="14">
        <v>129531</v>
      </c>
      <c r="AC9" s="17">
        <v>3815</v>
      </c>
      <c r="AD9" s="14">
        <f t="shared" si="5"/>
        <v>5.426078744278794E-3</v>
      </c>
      <c r="AE9" s="14">
        <f t="shared" si="6"/>
        <v>-1.0784163387511154</v>
      </c>
      <c r="AF9" s="14">
        <f t="shared" si="14"/>
        <v>8.6273307100089305E-2</v>
      </c>
      <c r="AG9" s="14">
        <f t="shared" si="15"/>
        <v>8.2752853846071256E-2</v>
      </c>
      <c r="AH9" s="14">
        <f t="shared" si="16"/>
        <v>0.89273277754267244</v>
      </c>
      <c r="AI9" s="14">
        <f t="shared" si="17"/>
        <v>4.8564821023520111E-3</v>
      </c>
      <c r="AJ9" s="14">
        <f t="shared" si="18"/>
        <v>8.8757086639309923E-2</v>
      </c>
      <c r="AK9" s="14">
        <f t="shared" si="19"/>
        <v>0</v>
      </c>
      <c r="AL9" s="14">
        <f t="shared" si="20"/>
        <v>-2.0020026355140885E-3</v>
      </c>
    </row>
    <row r="10" spans="1:38" ht="17.25" customHeight="1" x14ac:dyDescent="0.2">
      <c r="A10" s="19" t="s">
        <v>25</v>
      </c>
      <c r="B10" s="19">
        <v>2022</v>
      </c>
      <c r="C10" s="14">
        <v>1</v>
      </c>
      <c r="D10" s="14">
        <v>0</v>
      </c>
      <c r="E10" s="14">
        <v>0</v>
      </c>
      <c r="F10" s="14">
        <v>1369.17</v>
      </c>
      <c r="G10" s="16">
        <f t="shared" si="7"/>
        <v>0.48266558878007393</v>
      </c>
      <c r="H10" s="14">
        <f t="shared" si="0"/>
        <v>7.2219599958112566</v>
      </c>
      <c r="I10" s="17">
        <v>711232</v>
      </c>
      <c r="J10" s="15">
        <v>2615</v>
      </c>
      <c r="K10" s="14">
        <f t="shared" si="1"/>
        <v>0.36767187078196706</v>
      </c>
      <c r="L10" s="16">
        <f t="shared" si="8"/>
        <v>1.1810845656742837</v>
      </c>
      <c r="M10" s="14">
        <v>0.98600652141555722</v>
      </c>
      <c r="N10" s="16">
        <f t="shared" si="9"/>
        <v>-1.6977493215702677</v>
      </c>
      <c r="O10" s="14">
        <v>1.21</v>
      </c>
      <c r="P10" s="17">
        <f t="shared" si="10"/>
        <v>-4.0000000000000036E-2</v>
      </c>
      <c r="Q10" s="14">
        <v>112419</v>
      </c>
      <c r="R10" s="14">
        <f>[1]Feuil1!J44/panel_choc_taux_suisse_2014_202!Q10</f>
        <v>7081.83223002043</v>
      </c>
      <c r="S10" s="14">
        <v>26.8</v>
      </c>
      <c r="T10" s="17">
        <f t="shared" si="2"/>
        <v>-0.82510650254118312</v>
      </c>
      <c r="U10" s="17">
        <f t="shared" si="3"/>
        <v>-1.4052410281169685</v>
      </c>
      <c r="V10" s="14">
        <v>84375.7785</v>
      </c>
      <c r="W10" s="16">
        <f t="shared" si="11"/>
        <v>-0.23940605191906225</v>
      </c>
      <c r="X10" s="14">
        <f t="shared" si="4"/>
        <v>11.343035654798932</v>
      </c>
      <c r="Y10" s="14">
        <v>2.5</v>
      </c>
      <c r="Z10" s="16">
        <f t="shared" si="12"/>
        <v>-2.882348160885137E-2</v>
      </c>
      <c r="AA10" s="14">
        <f t="shared" si="13"/>
        <v>0.91629073187415511</v>
      </c>
      <c r="AB10" s="14">
        <v>133099</v>
      </c>
      <c r="AC10" s="17">
        <v>3679</v>
      </c>
      <c r="AD10" s="14">
        <f t="shared" si="5"/>
        <v>5.1727143885539461E-3</v>
      </c>
      <c r="AE10" s="14">
        <f t="shared" si="6"/>
        <v>-1.1151737653290759</v>
      </c>
      <c r="AF10" s="14">
        <f t="shared" si="14"/>
        <v>4.4606950613163075E-2</v>
      </c>
      <c r="AG10" s="14">
        <f t="shared" si="15"/>
        <v>4.3640690849315496E-2</v>
      </c>
      <c r="AH10" s="14">
        <f t="shared" si="16"/>
        <v>0.46425124936052192</v>
      </c>
      <c r="AI10" s="14">
        <f t="shared" si="17"/>
        <v>2.0289610157739446E-2</v>
      </c>
      <c r="AJ10" s="14">
        <f t="shared" si="18"/>
        <v>-0.12003518070248859</v>
      </c>
      <c r="AK10" s="14">
        <f t="shared" si="19"/>
        <v>-0.89999999999999991</v>
      </c>
      <c r="AL10" s="14">
        <f t="shared" si="20"/>
        <v>8.9597413746709265E-3</v>
      </c>
    </row>
    <row r="11" spans="1:38" ht="17.25" customHeight="1" x14ac:dyDescent="0.2">
      <c r="A11" s="19" t="s">
        <v>25</v>
      </c>
      <c r="B11" s="19">
        <v>2023</v>
      </c>
      <c r="C11" s="14">
        <v>1</v>
      </c>
      <c r="D11" s="14">
        <v>0</v>
      </c>
      <c r="E11" s="14">
        <v>0</v>
      </c>
      <c r="F11" s="14">
        <v>1523.14</v>
      </c>
      <c r="G11" s="16">
        <f t="shared" si="7"/>
        <v>1.2631456507252159</v>
      </c>
      <c r="H11" s="14">
        <f t="shared" si="0"/>
        <v>7.3285292725049622</v>
      </c>
      <c r="I11" s="17">
        <v>726894</v>
      </c>
      <c r="J11" s="15">
        <v>3128</v>
      </c>
      <c r="K11" s="14">
        <f t="shared" si="1"/>
        <v>0.43032409127052912</v>
      </c>
      <c r="L11" s="16">
        <f t="shared" si="8"/>
        <v>1.3749295446683285</v>
      </c>
      <c r="M11" s="14">
        <v>1.0341430614279774</v>
      </c>
      <c r="N11" s="16">
        <f t="shared" si="9"/>
        <v>0.31181115562449047</v>
      </c>
      <c r="O11" s="14">
        <v>1.48</v>
      </c>
      <c r="P11" s="17">
        <f t="shared" si="10"/>
        <v>0.27</v>
      </c>
      <c r="Q11" s="14">
        <v>111712</v>
      </c>
      <c r="R11" s="14">
        <f>[1]Feuil1!J45/panel_choc_taux_suisse_2014_202!Q11</f>
        <v>7278.4333070007406</v>
      </c>
      <c r="S11" s="14">
        <v>26.7</v>
      </c>
      <c r="T11" s="17">
        <f t="shared" si="2"/>
        <v>-0.82180036052100047</v>
      </c>
      <c r="U11" s="17">
        <f t="shared" si="3"/>
        <v>-1.4153372662984214</v>
      </c>
      <c r="V11" s="14">
        <v>98719.66085</v>
      </c>
      <c r="W11" s="16">
        <f t="shared" si="11"/>
        <v>0.57441020545695154</v>
      </c>
      <c r="X11" s="14">
        <f t="shared" si="4"/>
        <v>11.500039403659246</v>
      </c>
      <c r="Y11" s="14">
        <v>2.2000000000000002</v>
      </c>
      <c r="Z11" s="16">
        <f t="shared" si="12"/>
        <v>-0.28724090292959131</v>
      </c>
      <c r="AA11" s="14">
        <f t="shared" si="13"/>
        <v>0.78845736036427028</v>
      </c>
      <c r="AB11" s="14">
        <v>137011</v>
      </c>
      <c r="AC11" s="17">
        <v>4193</v>
      </c>
      <c r="AD11" s="14">
        <f t="shared" si="5"/>
        <v>5.7683788833034801E-3</v>
      </c>
      <c r="AE11" s="14">
        <f t="shared" si="6"/>
        <v>-1.1185688134097109</v>
      </c>
      <c r="AF11" s="14">
        <f t="shared" si="14"/>
        <v>-0.30201357962062197</v>
      </c>
      <c r="AG11" s="14">
        <f t="shared" si="15"/>
        <v>-0.35955563145288749</v>
      </c>
      <c r="AH11" s="14">
        <f t="shared" si="16"/>
        <v>-3.1002671538860209</v>
      </c>
      <c r="AI11" s="14">
        <f t="shared" si="17"/>
        <v>0.10656927669370564</v>
      </c>
      <c r="AJ11" s="14">
        <f t="shared" si="18"/>
        <v>6.265222048856206E-2</v>
      </c>
      <c r="AK11" s="14">
        <f t="shared" si="19"/>
        <v>-0.29999999999999982</v>
      </c>
      <c r="AL11" s="14">
        <f t="shared" si="20"/>
        <v>0.15700374886031376</v>
      </c>
    </row>
    <row r="12" spans="1:38" ht="17.25" customHeight="1" x14ac:dyDescent="0.2">
      <c r="A12" s="19" t="s">
        <v>24</v>
      </c>
      <c r="B12" s="19">
        <v>2014</v>
      </c>
      <c r="C12" s="14">
        <v>1</v>
      </c>
      <c r="D12" s="14">
        <v>0</v>
      </c>
      <c r="E12" s="14">
        <v>0</v>
      </c>
      <c r="F12" s="14">
        <v>1299</v>
      </c>
      <c r="G12" s="16">
        <f t="shared" si="7"/>
        <v>0.12697106421885637</v>
      </c>
      <c r="H12" s="14">
        <f t="shared" si="0"/>
        <v>7.1693500166705997</v>
      </c>
      <c r="I12" s="17">
        <v>15854</v>
      </c>
      <c r="J12" s="15">
        <v>18</v>
      </c>
      <c r="K12" s="14">
        <f t="shared" si="1"/>
        <v>0.11353601614734453</v>
      </c>
      <c r="L12" s="16">
        <f t="shared" si="8"/>
        <v>0.39479225202395413</v>
      </c>
      <c r="M12" s="14">
        <v>1.0281149308624065</v>
      </c>
      <c r="N12" s="16">
        <f t="shared" si="9"/>
        <v>6.0154245243822686E-2</v>
      </c>
      <c r="O12" s="14">
        <v>1.95</v>
      </c>
      <c r="P12" s="17">
        <v>0</v>
      </c>
      <c r="Q12" s="14">
        <v>131949</v>
      </c>
      <c r="R12" s="14">
        <f>[1]Feuil1!J46/panel_choc_taux_suisse_2014_202!Q12</f>
        <v>4811.0431555626292</v>
      </c>
      <c r="S12" s="14">
        <v>39.799999999999997</v>
      </c>
      <c r="T12" s="17">
        <f t="shared" si="2"/>
        <v>-0.86329322711741008</v>
      </c>
      <c r="U12" s="17">
        <f t="shared" si="3"/>
        <v>-9.2730064528111847E-2</v>
      </c>
      <c r="V12" s="14">
        <v>86397.741380000007</v>
      </c>
      <c r="W12" s="16">
        <f t="shared" si="11"/>
        <v>-0.12468771950365233</v>
      </c>
      <c r="X12" s="14">
        <f t="shared" si="4"/>
        <v>11.366716813015268</v>
      </c>
      <c r="Y12" s="14">
        <v>1.1000000000000001</v>
      </c>
      <c r="Z12" s="16">
        <f t="shared" si="12"/>
        <v>-1.2347714477723051</v>
      </c>
      <c r="AA12" s="14">
        <f t="shared" si="13"/>
        <v>9.5310179804324935E-2</v>
      </c>
      <c r="AB12" s="14">
        <v>2813</v>
      </c>
      <c r="AC12" s="17">
        <v>53</v>
      </c>
      <c r="AD12" s="14">
        <f t="shared" si="5"/>
        <v>3.343004919894033E-3</v>
      </c>
      <c r="AE12" s="14">
        <f t="shared" si="6"/>
        <v>-0.47801164582276096</v>
      </c>
      <c r="AF12" s="14">
        <f t="shared" si="14"/>
        <v>0</v>
      </c>
      <c r="AG12" s="14">
        <f t="shared" si="15"/>
        <v>0</v>
      </c>
      <c r="AH12" s="14">
        <f t="shared" si="16"/>
        <v>5.5297297030243815E-3</v>
      </c>
      <c r="AI12" s="14">
        <v>0</v>
      </c>
      <c r="AJ12" s="14">
        <v>0</v>
      </c>
      <c r="AK12" s="14">
        <v>0</v>
      </c>
      <c r="AL12" s="14">
        <v>0</v>
      </c>
    </row>
    <row r="13" spans="1:38" ht="17.25" customHeight="1" x14ac:dyDescent="0.2">
      <c r="A13" s="19" t="s">
        <v>24</v>
      </c>
      <c r="B13" s="19">
        <v>2015</v>
      </c>
      <c r="C13" s="14">
        <v>1</v>
      </c>
      <c r="D13" s="14">
        <v>0</v>
      </c>
      <c r="E13" s="14">
        <v>0</v>
      </c>
      <c r="F13" s="14">
        <v>1204</v>
      </c>
      <c r="G13" s="16">
        <f t="shared" si="7"/>
        <v>-0.35458771921160726</v>
      </c>
      <c r="H13" s="14">
        <f t="shared" si="0"/>
        <v>7.0934046258687662</v>
      </c>
      <c r="I13" s="17">
        <v>15974</v>
      </c>
      <c r="J13" s="15">
        <v>32</v>
      </c>
      <c r="K13" s="14">
        <f t="shared" si="1"/>
        <v>0.20032552898459999</v>
      </c>
      <c r="L13" s="16">
        <f t="shared" si="8"/>
        <v>0.66331763167769753</v>
      </c>
      <c r="M13" s="14">
        <v>1.0174024043472965</v>
      </c>
      <c r="N13" s="16">
        <f t="shared" si="9"/>
        <v>-0.38706256531446542</v>
      </c>
      <c r="O13" s="14">
        <v>1.84</v>
      </c>
      <c r="P13" s="17">
        <v>-0.10999999999999988</v>
      </c>
      <c r="Q13" s="14">
        <v>134396</v>
      </c>
      <c r="R13" s="14">
        <f>[1]Feuil1!J47/panel_choc_taux_suisse_2014_202!Q13</f>
        <v>4881.7091833710329</v>
      </c>
      <c r="S13" s="14">
        <v>40.9</v>
      </c>
      <c r="T13" s="17">
        <f t="shared" si="2"/>
        <v>-0.86210487185748363</v>
      </c>
      <c r="U13" s="17">
        <f t="shared" si="3"/>
        <v>1.8328555467868497E-2</v>
      </c>
      <c r="V13" s="14">
        <v>86743.332339999994</v>
      </c>
      <c r="W13" s="16">
        <f t="shared" si="11"/>
        <v>-0.10508022867323757</v>
      </c>
      <c r="X13" s="14">
        <f t="shared" si="4"/>
        <v>11.370708834221169</v>
      </c>
      <c r="Y13" s="14">
        <v>1</v>
      </c>
      <c r="Z13" s="16">
        <f t="shared" si="12"/>
        <v>-1.3209105882125518</v>
      </c>
      <c r="AA13" s="14">
        <f t="shared" si="13"/>
        <v>0</v>
      </c>
      <c r="AB13" s="14">
        <v>2865</v>
      </c>
      <c r="AC13" s="17">
        <v>146</v>
      </c>
      <c r="AD13" s="14">
        <f t="shared" si="5"/>
        <v>9.1398522599223739E-3</v>
      </c>
      <c r="AE13" s="14">
        <f t="shared" si="6"/>
        <v>-0.42188815819480757</v>
      </c>
      <c r="AF13" s="14">
        <f t="shared" si="14"/>
        <v>4.6407697401428784E-2</v>
      </c>
      <c r="AG13" s="14">
        <f t="shared" si="15"/>
        <v>4.5363057773088376E-2</v>
      </c>
      <c r="AH13" s="14">
        <f t="shared" si="16"/>
        <v>0.48276946887288297</v>
      </c>
      <c r="AI13" s="14">
        <f t="shared" ref="AI13:AI21" si="21">LN(F13)-LN(F12)</f>
        <v>-7.594539080183349E-2</v>
      </c>
      <c r="AJ13" s="14">
        <f t="shared" ref="AJ13:AJ21" si="22">K13-K12</f>
        <v>8.6789512837255459E-2</v>
      </c>
      <c r="AK13" s="14">
        <f t="shared" ref="AK13:AK21" si="23">Y13-Y12</f>
        <v>-0.10000000000000009</v>
      </c>
      <c r="AL13" s="14">
        <f t="shared" ref="AL13:AL21" si="24">LN(V13)-LN(V12)</f>
        <v>3.9920212059012528E-3</v>
      </c>
    </row>
    <row r="14" spans="1:38" ht="17.25" customHeight="1" x14ac:dyDescent="0.2">
      <c r="A14" s="19" t="s">
        <v>24</v>
      </c>
      <c r="B14" s="19">
        <v>2016</v>
      </c>
      <c r="C14" s="14">
        <v>1</v>
      </c>
      <c r="D14" s="14">
        <v>0</v>
      </c>
      <c r="E14" s="14">
        <v>0</v>
      </c>
      <c r="F14" s="14">
        <v>1110.17</v>
      </c>
      <c r="G14" s="16">
        <f t="shared" si="7"/>
        <v>-0.83021572604613747</v>
      </c>
      <c r="H14" s="14">
        <f t="shared" si="0"/>
        <v>7.0122684357327865</v>
      </c>
      <c r="I14" s="17">
        <v>16003</v>
      </c>
      <c r="J14" s="15">
        <v>-8</v>
      </c>
      <c r="K14" s="14">
        <f t="shared" si="1"/>
        <v>-4.9990626757482975E-2</v>
      </c>
      <c r="L14" s="16">
        <f t="shared" si="8"/>
        <v>-0.11115659402915544</v>
      </c>
      <c r="M14" s="14">
        <v>0.98347652295718835</v>
      </c>
      <c r="N14" s="16">
        <f t="shared" si="9"/>
        <v>-1.8033693953850858</v>
      </c>
      <c r="O14" s="14">
        <v>1.71</v>
      </c>
      <c r="P14" s="17">
        <v>-0.13000000000000012</v>
      </c>
      <c r="Q14" s="14">
        <v>137001</v>
      </c>
      <c r="R14" s="14">
        <f>[1]Feuil1!J48/panel_choc_taux_suisse_2014_202!Q14</f>
        <v>4931.227442987034</v>
      </c>
      <c r="S14" s="14">
        <v>40.299999999999997</v>
      </c>
      <c r="T14" s="17">
        <f t="shared" si="2"/>
        <v>-0.8612721480423482</v>
      </c>
      <c r="U14" s="17">
        <f t="shared" si="3"/>
        <v>-4.2248873620848122E-2</v>
      </c>
      <c r="V14" s="14">
        <v>87350.535669999997</v>
      </c>
      <c r="W14" s="16">
        <f t="shared" si="11"/>
        <v>-7.0629866530741631E-2</v>
      </c>
      <c r="X14" s="14">
        <f t="shared" si="4"/>
        <v>11.377684447999037</v>
      </c>
      <c r="Y14" s="14">
        <v>1.1000000000000001</v>
      </c>
      <c r="Z14" s="16">
        <f t="shared" si="12"/>
        <v>-1.2347714477723051</v>
      </c>
      <c r="AA14" s="14">
        <f t="shared" si="13"/>
        <v>9.5310179804324935E-2</v>
      </c>
      <c r="AB14" s="14">
        <v>2924</v>
      </c>
      <c r="AC14" s="17">
        <v>49</v>
      </c>
      <c r="AD14" s="14">
        <f t="shared" si="5"/>
        <v>3.061925888895832E-3</v>
      </c>
      <c r="AE14" s="14">
        <f t="shared" si="6"/>
        <v>-0.45176051083159818</v>
      </c>
      <c r="AF14" s="14">
        <f t="shared" si="14"/>
        <v>5.8728866408107816E-2</v>
      </c>
      <c r="AG14" s="14">
        <f t="shared" si="15"/>
        <v>5.7069005895279266E-2</v>
      </c>
      <c r="AH14" s="14">
        <f t="shared" si="16"/>
        <v>0.60947585191429221</v>
      </c>
      <c r="AI14" s="14">
        <f t="shared" si="21"/>
        <v>-8.1136190135979724E-2</v>
      </c>
      <c r="AJ14" s="14">
        <f t="shared" si="22"/>
        <v>-0.25031615574208299</v>
      </c>
      <c r="AK14" s="14">
        <f t="shared" si="23"/>
        <v>0.10000000000000009</v>
      </c>
      <c r="AL14" s="14">
        <f t="shared" si="24"/>
        <v>6.9756137778682614E-3</v>
      </c>
    </row>
    <row r="15" spans="1:38" ht="17.25" customHeight="1" x14ac:dyDescent="0.2">
      <c r="A15" s="19" t="s">
        <v>24</v>
      </c>
      <c r="B15" s="19">
        <v>2017</v>
      </c>
      <c r="C15" s="14">
        <v>1</v>
      </c>
      <c r="D15" s="14">
        <v>0</v>
      </c>
      <c r="E15" s="14">
        <v>0</v>
      </c>
      <c r="F15" s="14">
        <v>1087.17</v>
      </c>
      <c r="G15" s="16">
        <f t="shared" si="7"/>
        <v>-0.94680364203456546</v>
      </c>
      <c r="H15" s="14">
        <f t="shared" si="0"/>
        <v>6.9913332686372334</v>
      </c>
      <c r="I15" s="17">
        <v>16105</v>
      </c>
      <c r="J15" s="15">
        <v>-43</v>
      </c>
      <c r="K15" s="14">
        <f t="shared" si="1"/>
        <v>-0.26699782676187517</v>
      </c>
      <c r="L15" s="16">
        <f t="shared" si="8"/>
        <v>-0.78257343765224008</v>
      </c>
      <c r="M15" s="14">
        <v>1.0635156673797794</v>
      </c>
      <c r="N15" s="16">
        <f t="shared" si="9"/>
        <v>1.5380319853253162</v>
      </c>
      <c r="O15" s="14">
        <v>1.56</v>
      </c>
      <c r="P15" s="17">
        <v>-0.14999999999999991</v>
      </c>
      <c r="Q15" s="14">
        <v>137023</v>
      </c>
      <c r="R15" s="14">
        <f>[1]Feuil1!J49/panel_choc_taux_suisse_2014_202!Q15</f>
        <v>5052.9656281548832</v>
      </c>
      <c r="S15" s="14">
        <v>40.299999999999997</v>
      </c>
      <c r="T15" s="17">
        <f t="shared" si="2"/>
        <v>-0.85922493784581133</v>
      </c>
      <c r="U15" s="17">
        <f t="shared" si="3"/>
        <v>-4.2248873620848122E-2</v>
      </c>
      <c r="V15" s="14">
        <v>87699.937810000003</v>
      </c>
      <c r="W15" s="16">
        <f t="shared" si="11"/>
        <v>-5.0806144127303589E-2</v>
      </c>
      <c r="X15" s="14">
        <f t="shared" si="4"/>
        <v>11.381676469238016</v>
      </c>
      <c r="Y15" s="14">
        <v>1</v>
      </c>
      <c r="Z15" s="16">
        <f t="shared" si="12"/>
        <v>-1.3209105882125518</v>
      </c>
      <c r="AA15" s="14">
        <f t="shared" si="13"/>
        <v>0</v>
      </c>
      <c r="AB15" s="14">
        <v>3013</v>
      </c>
      <c r="AC15" s="17">
        <v>63</v>
      </c>
      <c r="AD15" s="14">
        <f t="shared" si="5"/>
        <v>3.9118286246507296E-3</v>
      </c>
      <c r="AE15" s="14">
        <f t="shared" si="6"/>
        <v>-0.45073690573332975</v>
      </c>
      <c r="AF15" s="14">
        <f t="shared" si="14"/>
        <v>6.7610535859999418E-2</v>
      </c>
      <c r="AG15" s="14">
        <f t="shared" si="15"/>
        <v>6.5423007233143954E-2</v>
      </c>
      <c r="AH15" s="14">
        <f t="shared" si="16"/>
        <v>0.70081168303620323</v>
      </c>
      <c r="AI15" s="14">
        <f t="shared" si="21"/>
        <v>-2.0935167095553098E-2</v>
      </c>
      <c r="AJ15" s="14">
        <f t="shared" si="22"/>
        <v>-0.21700720000439219</v>
      </c>
      <c r="AK15" s="14">
        <f t="shared" si="23"/>
        <v>-0.10000000000000009</v>
      </c>
      <c r="AL15" s="14">
        <f t="shared" si="24"/>
        <v>3.9920212389787935E-3</v>
      </c>
    </row>
    <row r="16" spans="1:38" ht="17.25" customHeight="1" x14ac:dyDescent="0.2">
      <c r="A16" s="19" t="s">
        <v>24</v>
      </c>
      <c r="B16" s="19">
        <v>2018</v>
      </c>
      <c r="C16" s="14">
        <v>1</v>
      </c>
      <c r="D16" s="14">
        <v>0</v>
      </c>
      <c r="E16" s="14">
        <v>0</v>
      </c>
      <c r="F16" s="14">
        <v>1134.17</v>
      </c>
      <c r="G16" s="16">
        <f t="shared" si="7"/>
        <v>-0.70855877023212555</v>
      </c>
      <c r="H16" s="14">
        <f t="shared" si="0"/>
        <v>7.0336563848686229</v>
      </c>
      <c r="I16" s="17">
        <v>16145</v>
      </c>
      <c r="J16" s="15">
        <v>-53</v>
      </c>
      <c r="K16" s="14">
        <f t="shared" si="1"/>
        <v>-0.32827500774233509</v>
      </c>
      <c r="L16" s="16">
        <f t="shared" si="8"/>
        <v>-0.97216406616220741</v>
      </c>
      <c r="M16" s="14">
        <v>1.0301138707197743</v>
      </c>
      <c r="N16" s="16">
        <f t="shared" si="9"/>
        <v>0.14360416774800241</v>
      </c>
      <c r="O16" s="14">
        <v>1.5</v>
      </c>
      <c r="P16" s="17">
        <v>-6.0000000000000053E-2</v>
      </c>
      <c r="Q16" s="14">
        <v>131491</v>
      </c>
      <c r="R16" s="14">
        <f>[1]Feuil1!J50/panel_choc_taux_suisse_2014_202!Q16</f>
        <v>5405.990829917384</v>
      </c>
      <c r="S16" s="14">
        <v>38.799999999999997</v>
      </c>
      <c r="T16" s="17">
        <f t="shared" si="2"/>
        <v>-0.85328828952395408</v>
      </c>
      <c r="U16" s="17">
        <f t="shared" si="3"/>
        <v>-0.1936924463426393</v>
      </c>
      <c r="V16" s="14">
        <v>88138.4375</v>
      </c>
      <c r="W16" s="16">
        <f t="shared" si="11"/>
        <v>-2.5927372267024091E-2</v>
      </c>
      <c r="X16" s="14">
        <f t="shared" si="4"/>
        <v>11.386664010759834</v>
      </c>
      <c r="Y16" s="14">
        <v>1</v>
      </c>
      <c r="Z16" s="16">
        <f t="shared" si="12"/>
        <v>-1.3209105882125518</v>
      </c>
      <c r="AA16" s="14">
        <f t="shared" si="13"/>
        <v>0</v>
      </c>
      <c r="AB16" s="14">
        <v>3091</v>
      </c>
      <c r="AC16" s="17">
        <v>134</v>
      </c>
      <c r="AD16" s="14">
        <f t="shared" si="5"/>
        <v>8.2997832146175284E-3</v>
      </c>
      <c r="AE16" s="14">
        <f t="shared" si="6"/>
        <v>-0.52349036793329673</v>
      </c>
      <c r="AF16" s="14">
        <f t="shared" si="14"/>
        <v>3.1409422075997832E-2</v>
      </c>
      <c r="AG16" s="14">
        <f t="shared" si="15"/>
        <v>3.0926237822778119E-2</v>
      </c>
      <c r="AH16" s="14">
        <f t="shared" si="16"/>
        <v>0.32853270632913262</v>
      </c>
      <c r="AI16" s="14">
        <f t="shared" si="21"/>
        <v>4.2323116231389513E-2</v>
      </c>
      <c r="AJ16" s="14">
        <f t="shared" si="22"/>
        <v>-6.1277180980459922E-2</v>
      </c>
      <c r="AK16" s="14">
        <f t="shared" si="23"/>
        <v>0</v>
      </c>
      <c r="AL16" s="14">
        <f t="shared" si="24"/>
        <v>4.9875415218174624E-3</v>
      </c>
    </row>
    <row r="17" spans="1:38" ht="17.25" customHeight="1" x14ac:dyDescent="0.2">
      <c r="A17" s="19" t="s">
        <v>24</v>
      </c>
      <c r="B17" s="19">
        <v>2019</v>
      </c>
      <c r="C17" s="14">
        <v>1</v>
      </c>
      <c r="D17" s="14">
        <v>0</v>
      </c>
      <c r="E17" s="14">
        <v>0</v>
      </c>
      <c r="F17" s="14">
        <v>1345.2</v>
      </c>
      <c r="G17" s="16">
        <f t="shared" si="7"/>
        <v>0.36116070416082946</v>
      </c>
      <c r="H17" s="14">
        <f t="shared" si="0"/>
        <v>7.2042979798661149</v>
      </c>
      <c r="I17" s="17">
        <v>16128</v>
      </c>
      <c r="J17" s="15">
        <v>-96</v>
      </c>
      <c r="K17" s="14">
        <f t="shared" si="1"/>
        <v>-0.59523809523809523</v>
      </c>
      <c r="L17" s="16">
        <f t="shared" si="8"/>
        <v>-1.7981436353499984</v>
      </c>
      <c r="M17" s="14">
        <v>1.036888899675622</v>
      </c>
      <c r="N17" s="16">
        <f t="shared" si="9"/>
        <v>0.42644191258817377</v>
      </c>
      <c r="O17" s="14">
        <v>1.43</v>
      </c>
      <c r="P17" s="17">
        <v>-7.0000000000000062E-2</v>
      </c>
      <c r="Q17" s="14">
        <v>131076</v>
      </c>
      <c r="R17" s="14">
        <f>[1]Feuil1!J51/panel_choc_taux_suisse_2014_202!Q17</f>
        <v>5570.5602340118194</v>
      </c>
      <c r="S17" s="14">
        <v>38.799999999999997</v>
      </c>
      <c r="T17" s="17">
        <f t="shared" si="2"/>
        <v>-0.85052080813234643</v>
      </c>
      <c r="U17" s="17">
        <f t="shared" si="3"/>
        <v>-0.1936924463426393</v>
      </c>
      <c r="V17" s="14">
        <v>88932</v>
      </c>
      <c r="W17" s="16">
        <f t="shared" si="11"/>
        <v>1.9096286459788663E-2</v>
      </c>
      <c r="X17" s="14">
        <f t="shared" si="4"/>
        <v>11.395627311739359</v>
      </c>
      <c r="Y17" s="14">
        <v>1.1000000000000001</v>
      </c>
      <c r="Z17" s="16">
        <f t="shared" si="12"/>
        <v>-1.2347714477723051</v>
      </c>
      <c r="AA17" s="14">
        <f t="shared" si="13"/>
        <v>9.5310179804324935E-2</v>
      </c>
      <c r="AB17" s="14">
        <v>3157</v>
      </c>
      <c r="AC17" s="17">
        <v>45</v>
      </c>
      <c r="AD17" s="14">
        <f t="shared" si="5"/>
        <v>2.7901785714285715E-3</v>
      </c>
      <c r="AE17" s="14">
        <f t="shared" si="6"/>
        <v>-0.5221066272374929</v>
      </c>
      <c r="AF17" s="14">
        <f t="shared" si="14"/>
        <v>3.6547463906624535E-2</v>
      </c>
      <c r="AG17" s="14">
        <f t="shared" si="15"/>
        <v>3.5895444326319234E-2</v>
      </c>
      <c r="AH17" s="14">
        <f t="shared" si="16"/>
        <v>0.3813704440406489</v>
      </c>
      <c r="AI17" s="14">
        <f t="shared" si="21"/>
        <v>0.17064159499749199</v>
      </c>
      <c r="AJ17" s="14">
        <f t="shared" si="22"/>
        <v>-0.26696308749576014</v>
      </c>
      <c r="AK17" s="14">
        <f t="shared" si="23"/>
        <v>0.10000000000000009</v>
      </c>
      <c r="AL17" s="14">
        <f t="shared" si="24"/>
        <v>8.9633009795253571E-3</v>
      </c>
    </row>
    <row r="18" spans="1:38" ht="17.25" customHeight="1" x14ac:dyDescent="0.2">
      <c r="A18" s="19" t="s">
        <v>24</v>
      </c>
      <c r="B18" s="19">
        <v>2020</v>
      </c>
      <c r="C18" s="14">
        <v>1</v>
      </c>
      <c r="D18" s="14">
        <v>0</v>
      </c>
      <c r="E18" s="14">
        <v>0</v>
      </c>
      <c r="F18" s="14">
        <v>1354.4</v>
      </c>
      <c r="G18" s="16">
        <f t="shared" si="7"/>
        <v>0.40779587055620087</v>
      </c>
      <c r="H18" s="14">
        <f t="shared" si="0"/>
        <v>7.2111138308189258</v>
      </c>
      <c r="I18" s="17">
        <v>16145</v>
      </c>
      <c r="J18" s="15">
        <v>75</v>
      </c>
      <c r="K18" s="14">
        <f t="shared" si="1"/>
        <v>0.46454010529575718</v>
      </c>
      <c r="L18" s="16">
        <f t="shared" si="8"/>
        <v>1.480793350743504</v>
      </c>
      <c r="M18" s="14">
        <v>1.0413346451454319</v>
      </c>
      <c r="N18" s="16">
        <f t="shared" si="9"/>
        <v>0.61203884966534006</v>
      </c>
      <c r="O18" s="14">
        <v>1.33</v>
      </c>
      <c r="P18" s="17">
        <v>-9.9999999999999867E-2</v>
      </c>
      <c r="Q18" s="14">
        <v>131551</v>
      </c>
      <c r="R18" s="14">
        <f>[1]Feuil1!J52/panel_choc_taux_suisse_2014_202!Q18</f>
        <v>5696.7774264353748</v>
      </c>
      <c r="S18" s="14">
        <v>38.299999999999997</v>
      </c>
      <c r="T18" s="17">
        <f t="shared" si="2"/>
        <v>-0.84839827671008583</v>
      </c>
      <c r="U18" s="17">
        <f t="shared" si="3"/>
        <v>-0.24417363724990304</v>
      </c>
      <c r="V18" s="14">
        <v>89643.136910000001</v>
      </c>
      <c r="W18" s="16">
        <f t="shared" si="11"/>
        <v>5.9443436865560362E-2</v>
      </c>
      <c r="X18" s="14">
        <f t="shared" si="4"/>
        <v>11.403591921836259</v>
      </c>
      <c r="Y18" s="14">
        <v>1.1000000000000001</v>
      </c>
      <c r="Z18" s="16">
        <f t="shared" si="12"/>
        <v>-1.2347714477723051</v>
      </c>
      <c r="AA18" s="14">
        <f t="shared" si="13"/>
        <v>9.5310179804324935E-2</v>
      </c>
      <c r="AB18" s="14">
        <v>3258</v>
      </c>
      <c r="AC18" s="17">
        <v>196</v>
      </c>
      <c r="AD18" s="14">
        <f t="shared" si="5"/>
        <v>1.2139981418395788E-2</v>
      </c>
      <c r="AE18" s="14">
        <f t="shared" si="6"/>
        <v>-0.54628595697999449</v>
      </c>
      <c r="AF18" s="14">
        <f t="shared" si="14"/>
        <v>5.4628595697999376E-2</v>
      </c>
      <c r="AG18" s="14">
        <f t="shared" si="15"/>
        <v>5.3188662954282741E-2</v>
      </c>
      <c r="AH18" s="14">
        <f t="shared" si="16"/>
        <v>0.56731017178387233</v>
      </c>
      <c r="AI18" s="14">
        <f t="shared" si="21"/>
        <v>6.8158509528108979E-3</v>
      </c>
      <c r="AJ18" s="14">
        <f t="shared" si="22"/>
        <v>1.0597782005338523</v>
      </c>
      <c r="AK18" s="14">
        <f t="shared" si="23"/>
        <v>0</v>
      </c>
      <c r="AL18" s="14">
        <f t="shared" si="24"/>
        <v>7.9646100969004152E-3</v>
      </c>
    </row>
    <row r="19" spans="1:38" ht="17.25" customHeight="1" x14ac:dyDescent="0.2">
      <c r="A19" s="19" t="s">
        <v>24</v>
      </c>
      <c r="B19" s="19">
        <v>2021</v>
      </c>
      <c r="C19" s="14">
        <v>1</v>
      </c>
      <c r="D19" s="14">
        <v>0</v>
      </c>
      <c r="E19" s="14">
        <v>0</v>
      </c>
      <c r="F19" s="14">
        <v>1388.6</v>
      </c>
      <c r="G19" s="16">
        <f t="shared" si="7"/>
        <v>0.58115703259116691</v>
      </c>
      <c r="H19" s="14">
        <f t="shared" si="0"/>
        <v>7.2360513243191731</v>
      </c>
      <c r="I19" s="17">
        <v>16128</v>
      </c>
      <c r="J19" s="15">
        <v>-6</v>
      </c>
      <c r="K19" s="14">
        <f t="shared" si="1"/>
        <v>-3.7202380952380952E-2</v>
      </c>
      <c r="L19" s="16">
        <f t="shared" si="8"/>
        <v>-7.1589963826268296E-2</v>
      </c>
      <c r="M19" s="14">
        <v>1.0457435779736526</v>
      </c>
      <c r="N19" s="16">
        <f t="shared" si="9"/>
        <v>0.79609896607405228</v>
      </c>
      <c r="O19" s="14">
        <v>1.25</v>
      </c>
      <c r="P19" s="17">
        <v>-8.0000000000000071E-2</v>
      </c>
      <c r="Q19" s="14">
        <v>132102</v>
      </c>
      <c r="R19" s="14">
        <f>[1]Feuil1!J53/panel_choc_taux_suisse_2014_202!Q19</f>
        <v>5852.6728289503553</v>
      </c>
      <c r="S19" s="14">
        <v>38.4</v>
      </c>
      <c r="T19" s="17">
        <f t="shared" si="2"/>
        <v>-0.8457766616664425</v>
      </c>
      <c r="U19" s="17">
        <f t="shared" si="3"/>
        <v>-0.23407739906845015</v>
      </c>
      <c r="V19" s="14">
        <v>89463.850630000001</v>
      </c>
      <c r="W19" s="16">
        <f t="shared" si="11"/>
        <v>4.9271428630393244E-2</v>
      </c>
      <c r="X19" s="14">
        <f t="shared" si="4"/>
        <v>11.401589919096509</v>
      </c>
      <c r="Y19" s="14">
        <v>0.8</v>
      </c>
      <c r="Z19" s="16">
        <f t="shared" si="12"/>
        <v>-1.493188869093045</v>
      </c>
      <c r="AA19" s="14">
        <f t="shared" si="13"/>
        <v>-0.22314355131420971</v>
      </c>
      <c r="AB19" s="14">
        <v>3327</v>
      </c>
      <c r="AC19" s="17">
        <v>45</v>
      </c>
      <c r="AD19" s="14">
        <f t="shared" si="5"/>
        <v>2.7901785714285715E-3</v>
      </c>
      <c r="AE19" s="14">
        <f t="shared" si="6"/>
        <v>-0.53992703036744638</v>
      </c>
      <c r="AF19" s="14">
        <f t="shared" si="14"/>
        <v>4.3194162429395749E-2</v>
      </c>
      <c r="AG19" s="14">
        <f t="shared" si="15"/>
        <v>4.228731634387739E-2</v>
      </c>
      <c r="AH19" s="14">
        <f t="shared" si="16"/>
        <v>0.44972265384561882</v>
      </c>
      <c r="AI19" s="14">
        <f t="shared" si="21"/>
        <v>2.4937493500247321E-2</v>
      </c>
      <c r="AJ19" s="14">
        <f t="shared" si="22"/>
        <v>-0.50174248624813811</v>
      </c>
      <c r="AK19" s="14">
        <f t="shared" si="23"/>
        <v>-0.30000000000000004</v>
      </c>
      <c r="AL19" s="14">
        <f t="shared" si="24"/>
        <v>-2.0020027397507079E-3</v>
      </c>
    </row>
    <row r="20" spans="1:38" ht="17.25" customHeight="1" x14ac:dyDescent="0.2">
      <c r="A20" s="19" t="s">
        <v>24</v>
      </c>
      <c r="B20" s="19">
        <v>2022</v>
      </c>
      <c r="C20" s="14">
        <v>1</v>
      </c>
      <c r="D20" s="14">
        <v>0</v>
      </c>
      <c r="E20" s="14">
        <v>0</v>
      </c>
      <c r="F20" s="14">
        <v>1314.8</v>
      </c>
      <c r="G20" s="16">
        <f t="shared" si="7"/>
        <v>0.20706189346308063</v>
      </c>
      <c r="H20" s="14">
        <f t="shared" si="0"/>
        <v>7.1814398417900644</v>
      </c>
      <c r="I20" s="17">
        <v>16360</v>
      </c>
      <c r="J20" s="15">
        <v>42</v>
      </c>
      <c r="K20" s="14">
        <f t="shared" si="1"/>
        <v>0.25672371638141811</v>
      </c>
      <c r="L20" s="16">
        <f t="shared" si="8"/>
        <v>0.83781273122862698</v>
      </c>
      <c r="M20" s="14">
        <v>0.98600652141555722</v>
      </c>
      <c r="N20" s="16">
        <f t="shared" si="9"/>
        <v>-1.6977493215702677</v>
      </c>
      <c r="O20" s="14">
        <v>1.21</v>
      </c>
      <c r="P20" s="17">
        <v>-4.0000000000000036E-2</v>
      </c>
      <c r="Q20" s="14">
        <v>131365</v>
      </c>
      <c r="R20" s="14">
        <f>[1]Feuil1!J54/panel_choc_taux_suisse_2014_202!Q20</f>
        <v>6060.4612908055169</v>
      </c>
      <c r="S20" s="14">
        <v>38.1</v>
      </c>
      <c r="T20" s="17">
        <f t="shared" si="2"/>
        <v>-0.84228238698799152</v>
      </c>
      <c r="U20" s="17">
        <f t="shared" si="3"/>
        <v>-0.2643661136128081</v>
      </c>
      <c r="V20" s="14">
        <v>90269.025290000005</v>
      </c>
      <c r="W20" s="16">
        <f t="shared" si="11"/>
        <v>9.4953916282364798E-2</v>
      </c>
      <c r="X20" s="14">
        <f t="shared" si="4"/>
        <v>11.410549660515947</v>
      </c>
      <c r="Y20" s="14">
        <v>0.5</v>
      </c>
      <c r="Z20" s="16">
        <f t="shared" si="12"/>
        <v>-1.7516062904137852</v>
      </c>
      <c r="AA20" s="14">
        <f t="shared" si="13"/>
        <v>-0.69314718055994529</v>
      </c>
      <c r="AB20" s="14">
        <v>3350</v>
      </c>
      <c r="AC20" s="17">
        <v>73</v>
      </c>
      <c r="AD20" s="14">
        <f t="shared" si="5"/>
        <v>4.4621026894865528E-3</v>
      </c>
      <c r="AE20" s="14">
        <f t="shared" si="6"/>
        <v>-0.55332425030039978</v>
      </c>
      <c r="AF20" s="14">
        <f t="shared" si="14"/>
        <v>2.2132970012016012E-2</v>
      </c>
      <c r="AG20" s="14">
        <f t="shared" si="15"/>
        <v>2.1891590962098636E-2</v>
      </c>
      <c r="AH20" s="14">
        <f t="shared" si="16"/>
        <v>0.23313707561852376</v>
      </c>
      <c r="AI20" s="14">
        <f t="shared" si="21"/>
        <v>-5.4611482529108635E-2</v>
      </c>
      <c r="AJ20" s="14">
        <f t="shared" si="22"/>
        <v>0.29392609733379904</v>
      </c>
      <c r="AK20" s="14">
        <f t="shared" si="23"/>
        <v>-0.30000000000000004</v>
      </c>
      <c r="AL20" s="14">
        <f t="shared" si="24"/>
        <v>8.9597414194386715E-3</v>
      </c>
    </row>
    <row r="21" spans="1:38" ht="17.25" customHeight="1" x14ac:dyDescent="0.2">
      <c r="A21" s="19" t="s">
        <v>24</v>
      </c>
      <c r="B21" s="19">
        <v>2023</v>
      </c>
      <c r="C21" s="14">
        <v>1</v>
      </c>
      <c r="D21" s="14">
        <v>0</v>
      </c>
      <c r="E21" s="14">
        <v>0</v>
      </c>
      <c r="F21" s="14">
        <v>1512.17</v>
      </c>
      <c r="G21" s="16">
        <f t="shared" si="7"/>
        <v>1.2075382838385613</v>
      </c>
      <c r="H21" s="14">
        <f t="shared" si="0"/>
        <v>7.3213009842816996</v>
      </c>
      <c r="I21" s="17">
        <v>16585</v>
      </c>
      <c r="J21" s="15">
        <v>-28</v>
      </c>
      <c r="K21" s="14">
        <f t="shared" si="1"/>
        <v>-0.16882725354235756</v>
      </c>
      <c r="L21" s="16">
        <f t="shared" si="8"/>
        <v>-0.47883523723131693</v>
      </c>
      <c r="M21" s="14">
        <v>1.0341430614279774</v>
      </c>
      <c r="N21" s="16">
        <f t="shared" si="9"/>
        <v>0.31181115562449047</v>
      </c>
      <c r="O21" s="14">
        <v>1.48</v>
      </c>
      <c r="P21" s="17">
        <v>0.27</v>
      </c>
      <c r="Q21" s="14">
        <v>131788</v>
      </c>
      <c r="R21" s="14">
        <f>[1]Feuil1!J55/panel_choc_taux_suisse_2014_202!Q21</f>
        <v>6169.6690259482402</v>
      </c>
      <c r="S21" s="14">
        <v>38</v>
      </c>
      <c r="T21" s="17">
        <f t="shared" si="2"/>
        <v>-0.84044589510488499</v>
      </c>
      <c r="U21" s="17">
        <f t="shared" si="3"/>
        <v>-0.27446235179426098</v>
      </c>
      <c r="V21" s="14">
        <v>105614.7596</v>
      </c>
      <c r="W21" s="16">
        <f t="shared" si="11"/>
        <v>0.96561136857601704</v>
      </c>
      <c r="X21" s="14">
        <f t="shared" si="4"/>
        <v>11.567553409426925</v>
      </c>
      <c r="Y21" s="14">
        <v>0.5</v>
      </c>
      <c r="Z21" s="16">
        <f t="shared" si="12"/>
        <v>-1.7516062904137852</v>
      </c>
      <c r="AA21" s="14">
        <f t="shared" si="13"/>
        <v>-0.69314718055994529</v>
      </c>
      <c r="AB21" s="14">
        <v>3445</v>
      </c>
      <c r="AC21" s="17">
        <v>93</v>
      </c>
      <c r="AD21" s="14">
        <f t="shared" si="5"/>
        <v>5.6074766355140183E-3</v>
      </c>
      <c r="AE21" s="14">
        <f t="shared" si="6"/>
        <v>-0.55745412344957301</v>
      </c>
      <c r="AF21" s="14">
        <f t="shared" si="14"/>
        <v>-0.15051261333138471</v>
      </c>
      <c r="AG21" s="14">
        <f t="shared" si="15"/>
        <v>-0.16312218592786279</v>
      </c>
      <c r="AH21" s="14">
        <f t="shared" si="16"/>
        <v>-1.5422867824308513</v>
      </c>
      <c r="AI21" s="14">
        <f t="shared" si="21"/>
        <v>0.13986114249163517</v>
      </c>
      <c r="AJ21" s="14">
        <f t="shared" si="22"/>
        <v>-0.42555096992377567</v>
      </c>
      <c r="AK21" s="14">
        <f t="shared" si="23"/>
        <v>0</v>
      </c>
      <c r="AL21" s="14">
        <f t="shared" si="24"/>
        <v>0.15700374891097724</v>
      </c>
    </row>
    <row r="22" spans="1:38" ht="17.25" customHeight="1" x14ac:dyDescent="0.2">
      <c r="A22" s="19" t="s">
        <v>23</v>
      </c>
      <c r="B22" s="19">
        <v>2014</v>
      </c>
      <c r="C22" s="14">
        <v>1</v>
      </c>
      <c r="D22" s="14">
        <v>0</v>
      </c>
      <c r="E22" s="14">
        <v>0</v>
      </c>
      <c r="F22" s="14">
        <v>1116.17</v>
      </c>
      <c r="G22" s="16">
        <f t="shared" si="7"/>
        <v>-0.79980148709263443</v>
      </c>
      <c r="H22" s="14">
        <f t="shared" si="0"/>
        <v>7.0176584610893622</v>
      </c>
      <c r="I22" s="17">
        <v>54064</v>
      </c>
      <c r="J22" s="15">
        <v>103</v>
      </c>
      <c r="K22" s="14">
        <f t="shared" si="1"/>
        <v>0.19051494525007398</v>
      </c>
      <c r="L22" s="16">
        <f t="shared" si="8"/>
        <v>0.6329638408126842</v>
      </c>
      <c r="M22" s="14">
        <v>1.0281149308624065</v>
      </c>
      <c r="N22" s="16">
        <f t="shared" si="9"/>
        <v>6.0154245243822686E-2</v>
      </c>
      <c r="O22" s="14">
        <v>1.95</v>
      </c>
      <c r="P22" s="17">
        <v>0</v>
      </c>
      <c r="Q22" s="14">
        <v>38293</v>
      </c>
      <c r="R22" s="14">
        <f>[1]Feuil1!J56/panel_choc_taux_suisse_2014_202!Q22</f>
        <v>16577.764430400683</v>
      </c>
      <c r="S22" s="14">
        <v>34.799999999999997</v>
      </c>
      <c r="T22" s="17">
        <f t="shared" si="2"/>
        <v>-0.66541815825186268</v>
      </c>
      <c r="U22" s="17">
        <f t="shared" si="3"/>
        <v>-0.59754197360074912</v>
      </c>
      <c r="V22" s="14">
        <v>78168.884420000002</v>
      </c>
      <c r="W22" s="16">
        <f t="shared" si="11"/>
        <v>-0.59156115099619144</v>
      </c>
      <c r="X22" s="14">
        <f t="shared" si="4"/>
        <v>11.266626949908755</v>
      </c>
      <c r="Y22" s="14">
        <v>1.7</v>
      </c>
      <c r="Z22" s="16">
        <f t="shared" si="12"/>
        <v>-0.71793660513082491</v>
      </c>
      <c r="AA22" s="14">
        <f t="shared" si="13"/>
        <v>0.53062825106217038</v>
      </c>
      <c r="AB22" s="14">
        <v>9842</v>
      </c>
      <c r="AC22" s="17">
        <v>307</v>
      </c>
      <c r="AD22" s="14">
        <f t="shared" si="5"/>
        <v>5.6784551642497776E-3</v>
      </c>
      <c r="AE22" s="14">
        <f t="shared" si="6"/>
        <v>-0.6314800659263059</v>
      </c>
      <c r="AF22" s="14">
        <f t="shared" si="14"/>
        <v>0</v>
      </c>
      <c r="AG22" s="14">
        <f t="shared" si="15"/>
        <v>0</v>
      </c>
      <c r="AH22" s="14">
        <f t="shared" si="16"/>
        <v>5.5297297030243815E-3</v>
      </c>
      <c r="AI22" s="14">
        <v>0</v>
      </c>
      <c r="AJ22" s="14">
        <v>0</v>
      </c>
      <c r="AK22" s="14">
        <v>0</v>
      </c>
      <c r="AL22" s="14">
        <v>0</v>
      </c>
    </row>
    <row r="23" spans="1:38" ht="17.25" customHeight="1" x14ac:dyDescent="0.2">
      <c r="A23" s="19" t="s">
        <v>23</v>
      </c>
      <c r="B23" s="19">
        <v>2015</v>
      </c>
      <c r="C23" s="14">
        <v>1</v>
      </c>
      <c r="D23" s="14">
        <v>0</v>
      </c>
      <c r="E23" s="14">
        <v>0</v>
      </c>
      <c r="F23" s="14">
        <v>1058.5</v>
      </c>
      <c r="G23" s="16">
        <f t="shared" si="7"/>
        <v>-1.0921330138340541</v>
      </c>
      <c r="H23" s="14">
        <f t="shared" si="0"/>
        <v>6.9646080905749201</v>
      </c>
      <c r="I23" s="17">
        <v>54543</v>
      </c>
      <c r="J23" s="15">
        <v>71</v>
      </c>
      <c r="K23" s="14">
        <f t="shared" si="1"/>
        <v>0.13017252443026603</v>
      </c>
      <c r="L23" s="16">
        <f t="shared" si="8"/>
        <v>0.44626534545127988</v>
      </c>
      <c r="M23" s="14">
        <v>1.0174024043472965</v>
      </c>
      <c r="N23" s="16">
        <f t="shared" si="9"/>
        <v>-0.38706256531446542</v>
      </c>
      <c r="O23" s="14">
        <v>1.84</v>
      </c>
      <c r="P23" s="17">
        <v>-0.10999999999999988</v>
      </c>
      <c r="Q23" s="14">
        <v>40236</v>
      </c>
      <c r="R23" s="14">
        <f>[1]Feuil1!J57/panel_choc_taux_suisse_2014_202!Q23</f>
        <v>16305.850169209994</v>
      </c>
      <c r="S23" s="14">
        <v>36.299999999999997</v>
      </c>
      <c r="T23" s="17">
        <f t="shared" si="2"/>
        <v>-0.66999080443782177</v>
      </c>
      <c r="U23" s="17">
        <f t="shared" si="3"/>
        <v>-0.44609840087895797</v>
      </c>
      <c r="V23" s="14">
        <v>78481.559959999999</v>
      </c>
      <c r="W23" s="16">
        <f t="shared" si="11"/>
        <v>-0.57382115344693507</v>
      </c>
      <c r="X23" s="14">
        <f t="shared" si="4"/>
        <v>11.270618971207853</v>
      </c>
      <c r="Y23" s="14">
        <v>1.9</v>
      </c>
      <c r="Z23" s="16">
        <f t="shared" si="12"/>
        <v>-0.54565832425033156</v>
      </c>
      <c r="AA23" s="14">
        <f t="shared" si="13"/>
        <v>0.64185388617239469</v>
      </c>
      <c r="AB23" s="14">
        <v>10056</v>
      </c>
      <c r="AC23" s="17">
        <v>233</v>
      </c>
      <c r="AD23" s="14">
        <f t="shared" si="5"/>
        <v>4.271858900317181E-3</v>
      </c>
      <c r="AE23" s="14">
        <f t="shared" si="6"/>
        <v>-0.55804460265838984</v>
      </c>
      <c r="AF23" s="14">
        <f t="shared" si="14"/>
        <v>6.1384906292422811E-2</v>
      </c>
      <c r="AG23" s="14">
        <f t="shared" si="15"/>
        <v>5.9574570745651534E-2</v>
      </c>
      <c r="AH23" s="14">
        <f t="shared" si="16"/>
        <v>0.63678959193139995</v>
      </c>
      <c r="AI23" s="14">
        <f t="shared" ref="AI23:AI31" si="25">LN(F23)-LN(F22)</f>
        <v>-5.3050370514442058E-2</v>
      </c>
      <c r="AJ23" s="14">
        <f t="shared" ref="AJ23:AJ31" si="26">K23-K22</f>
        <v>-6.0342420819807951E-2</v>
      </c>
      <c r="AK23" s="14">
        <f t="shared" ref="AK23:AK31" si="27">Y23-Y22</f>
        <v>0.19999999999999996</v>
      </c>
      <c r="AL23" s="14">
        <f t="shared" ref="AL23:AL31" si="28">LN(V23)-LN(V22)</f>
        <v>3.9920212990978143E-3</v>
      </c>
    </row>
    <row r="24" spans="1:38" ht="17.25" customHeight="1" x14ac:dyDescent="0.2">
      <c r="A24" s="19" t="s">
        <v>23</v>
      </c>
      <c r="B24" s="19">
        <v>2016</v>
      </c>
      <c r="C24" s="14">
        <v>1</v>
      </c>
      <c r="D24" s="14">
        <v>0</v>
      </c>
      <c r="E24" s="14">
        <v>0</v>
      </c>
      <c r="F24" s="14">
        <v>1079.5</v>
      </c>
      <c r="G24" s="16">
        <f t="shared" si="7"/>
        <v>-0.98568317749679379</v>
      </c>
      <c r="H24" s="14">
        <f t="shared" si="0"/>
        <v>6.984253249954862</v>
      </c>
      <c r="I24" s="17">
        <v>54954</v>
      </c>
      <c r="J24" s="15">
        <v>-46</v>
      </c>
      <c r="K24" s="14">
        <f t="shared" si="1"/>
        <v>-8.370637260254031E-2</v>
      </c>
      <c r="L24" s="16">
        <f t="shared" si="8"/>
        <v>-0.2154725782694403</v>
      </c>
      <c r="M24" s="14">
        <v>0.98347652295718835</v>
      </c>
      <c r="N24" s="16">
        <f t="shared" si="9"/>
        <v>-1.8033693953850858</v>
      </c>
      <c r="O24" s="14">
        <v>1.71</v>
      </c>
      <c r="P24" s="17">
        <v>-0.13000000000000012</v>
      </c>
      <c r="Q24" s="14">
        <v>40908</v>
      </c>
      <c r="R24" s="14">
        <f>[1]Feuil1!J58/panel_choc_taux_suisse_2014_202!Q24</f>
        <v>16514.693725351193</v>
      </c>
      <c r="S24" s="14">
        <v>36.299999999999997</v>
      </c>
      <c r="T24" s="17">
        <f t="shared" si="2"/>
        <v>-0.66647878676626071</v>
      </c>
      <c r="U24" s="17">
        <f t="shared" si="3"/>
        <v>-0.44609840087895797</v>
      </c>
      <c r="V24" s="14">
        <v>79030.93088</v>
      </c>
      <c r="W24" s="16">
        <f t="shared" si="11"/>
        <v>-0.54265197796735387</v>
      </c>
      <c r="X24" s="14">
        <f t="shared" si="4"/>
        <v>11.277594584947822</v>
      </c>
      <c r="Y24" s="14">
        <v>1.8</v>
      </c>
      <c r="Z24" s="16">
        <f t="shared" si="12"/>
        <v>-0.63179746469057818</v>
      </c>
      <c r="AA24" s="14">
        <f t="shared" si="13"/>
        <v>0.58778666490211906</v>
      </c>
      <c r="AB24" s="14">
        <v>10244</v>
      </c>
      <c r="AC24" s="17">
        <v>352</v>
      </c>
      <c r="AD24" s="14">
        <f t="shared" si="5"/>
        <v>6.4053572078465624E-3</v>
      </c>
      <c r="AE24" s="14">
        <f t="shared" si="6"/>
        <v>-0.55628859382260931</v>
      </c>
      <c r="AF24" s="14">
        <f t="shared" si="14"/>
        <v>7.2317517196939268E-2</v>
      </c>
      <c r="AG24" s="14">
        <f t="shared" si="15"/>
        <v>6.9822210207647964E-2</v>
      </c>
      <c r="AH24" s="14">
        <f t="shared" si="16"/>
        <v>0.74921655273028565</v>
      </c>
      <c r="AI24" s="14">
        <f t="shared" si="25"/>
        <v>1.9645159379941823E-2</v>
      </c>
      <c r="AJ24" s="14">
        <f t="shared" si="26"/>
        <v>-0.21387889703280633</v>
      </c>
      <c r="AK24" s="14">
        <f t="shared" si="27"/>
        <v>-9.9999999999999867E-2</v>
      </c>
      <c r="AL24" s="14">
        <f t="shared" si="28"/>
        <v>6.9756137399696883E-3</v>
      </c>
    </row>
    <row r="25" spans="1:38" ht="17.25" customHeight="1" x14ac:dyDescent="0.2">
      <c r="A25" s="19" t="s">
        <v>23</v>
      </c>
      <c r="B25" s="19">
        <v>2017</v>
      </c>
      <c r="C25" s="14">
        <v>1</v>
      </c>
      <c r="D25" s="14">
        <v>0</v>
      </c>
      <c r="E25" s="14">
        <v>0</v>
      </c>
      <c r="F25" s="14">
        <v>1086.33</v>
      </c>
      <c r="G25" s="16">
        <f t="shared" si="7"/>
        <v>-0.95106163548805667</v>
      </c>
      <c r="H25" s="14">
        <f t="shared" si="0"/>
        <v>6.9905603217388466</v>
      </c>
      <c r="I25" s="17">
        <v>55178</v>
      </c>
      <c r="J25" s="15">
        <v>51</v>
      </c>
      <c r="K25" s="14">
        <f t="shared" si="1"/>
        <v>9.2428141650657866E-2</v>
      </c>
      <c r="L25" s="16">
        <f t="shared" si="8"/>
        <v>0.32948482227106701</v>
      </c>
      <c r="M25" s="14">
        <v>1.0635156673797794</v>
      </c>
      <c r="N25" s="16">
        <f t="shared" si="9"/>
        <v>1.5380319853253162</v>
      </c>
      <c r="O25" s="14">
        <v>1.56</v>
      </c>
      <c r="P25" s="17">
        <v>-0.14999999999999991</v>
      </c>
      <c r="Q25" s="14">
        <v>39919</v>
      </c>
      <c r="R25" s="14">
        <f>[1]Feuil1!J59/panel_choc_taux_suisse_2014_202!Q25</f>
        <v>17344.435212972934</v>
      </c>
      <c r="S25" s="14">
        <v>35.299999999999997</v>
      </c>
      <c r="T25" s="17">
        <f t="shared" si="2"/>
        <v>-0.65252543900108095</v>
      </c>
      <c r="U25" s="17">
        <f t="shared" si="3"/>
        <v>-0.54706078269348546</v>
      </c>
      <c r="V25" s="14">
        <v>79347.054610000007</v>
      </c>
      <c r="W25" s="16">
        <f t="shared" si="11"/>
        <v>-0.52471634348995932</v>
      </c>
      <c r="X25" s="14">
        <f t="shared" si="4"/>
        <v>11.281586606299026</v>
      </c>
      <c r="Y25" s="14">
        <v>1.8</v>
      </c>
      <c r="Z25" s="16">
        <f t="shared" si="12"/>
        <v>-0.63179746469057818</v>
      </c>
      <c r="AA25" s="14">
        <f t="shared" si="13"/>
        <v>0.58778666490211906</v>
      </c>
      <c r="AB25" s="14">
        <v>10590</v>
      </c>
      <c r="AC25" s="17">
        <v>215</v>
      </c>
      <c r="AD25" s="14">
        <f t="shared" si="5"/>
        <v>3.896480481351263E-3</v>
      </c>
      <c r="AE25" s="14">
        <f t="shared" si="6"/>
        <v>-0.59979311084728315</v>
      </c>
      <c r="AF25" s="14">
        <f t="shared" si="14"/>
        <v>8.9968966627092417E-2</v>
      </c>
      <c r="AG25" s="14">
        <f t="shared" si="15"/>
        <v>8.6149224851427286E-2</v>
      </c>
      <c r="AH25" s="14">
        <f t="shared" si="16"/>
        <v>0.93073758466489065</v>
      </c>
      <c r="AI25" s="14">
        <f t="shared" si="25"/>
        <v>6.3070717839845969E-3</v>
      </c>
      <c r="AJ25" s="14">
        <f t="shared" si="26"/>
        <v>0.17613451425319818</v>
      </c>
      <c r="AK25" s="14">
        <f t="shared" si="27"/>
        <v>0</v>
      </c>
      <c r="AL25" s="14">
        <f t="shared" si="28"/>
        <v>3.9920213512036895E-3</v>
      </c>
    </row>
    <row r="26" spans="1:38" ht="17.25" customHeight="1" x14ac:dyDescent="0.2">
      <c r="A26" s="19" t="s">
        <v>23</v>
      </c>
      <c r="B26" s="19">
        <v>2018</v>
      </c>
      <c r="C26" s="14">
        <v>1</v>
      </c>
      <c r="D26" s="14">
        <v>0</v>
      </c>
      <c r="E26" s="14">
        <v>0</v>
      </c>
      <c r="F26" s="14">
        <v>1096.33</v>
      </c>
      <c r="G26" s="16">
        <f t="shared" si="7"/>
        <v>-0.90037123723221835</v>
      </c>
      <c r="H26" s="14">
        <f t="shared" si="0"/>
        <v>6.9997235170785022</v>
      </c>
      <c r="I26" s="17">
        <v>55234</v>
      </c>
      <c r="J26" s="15">
        <v>-199</v>
      </c>
      <c r="K26" s="14">
        <f t="shared" si="1"/>
        <v>-0.36028533149871456</v>
      </c>
      <c r="L26" s="16">
        <f t="shared" si="8"/>
        <v>-1.071203501440974</v>
      </c>
      <c r="M26" s="14">
        <v>1.0301138707197743</v>
      </c>
      <c r="N26" s="16">
        <f t="shared" si="9"/>
        <v>0.14360416774800241</v>
      </c>
      <c r="O26" s="14">
        <v>1.5</v>
      </c>
      <c r="P26" s="17">
        <v>-6.0000000000000053E-2</v>
      </c>
      <c r="Q26" s="14">
        <v>39601</v>
      </c>
      <c r="R26" s="14">
        <f>[1]Feuil1!J60/panel_choc_taux_suisse_2014_202!Q26</f>
        <v>17950.030055217463</v>
      </c>
      <c r="S26" s="14">
        <v>35</v>
      </c>
      <c r="T26" s="17">
        <f t="shared" si="2"/>
        <v>-0.64234145330831161</v>
      </c>
      <c r="U26" s="17">
        <f t="shared" si="3"/>
        <v>-0.57734949723784335</v>
      </c>
      <c r="V26" s="14">
        <v>79743.789879999997</v>
      </c>
      <c r="W26" s="16">
        <f t="shared" si="11"/>
        <v>-0.50220712285343794</v>
      </c>
      <c r="X26" s="14">
        <f t="shared" si="4"/>
        <v>11.286574147771818</v>
      </c>
      <c r="Y26" s="14">
        <v>1.5</v>
      </c>
      <c r="Z26" s="16">
        <f t="shared" si="12"/>
        <v>-0.89021488601131826</v>
      </c>
      <c r="AA26" s="14">
        <f t="shared" si="13"/>
        <v>0.40546510810816438</v>
      </c>
      <c r="AB26" s="14">
        <v>10886</v>
      </c>
      <c r="AC26" s="17">
        <v>248</v>
      </c>
      <c r="AD26" s="14">
        <f t="shared" si="5"/>
        <v>4.4899880508382515E-3</v>
      </c>
      <c r="AE26" s="14">
        <f t="shared" si="6"/>
        <v>-0.60984547527307753</v>
      </c>
      <c r="AF26" s="14">
        <f t="shared" si="14"/>
        <v>3.6590728516384681E-2</v>
      </c>
      <c r="AG26" s="14">
        <f t="shared" si="15"/>
        <v>3.5937182604958373E-2</v>
      </c>
      <c r="AH26" s="14">
        <f t="shared" si="16"/>
        <v>0.381815361419303</v>
      </c>
      <c r="AI26" s="14">
        <f t="shared" si="25"/>
        <v>9.1631953396555943E-3</v>
      </c>
      <c r="AJ26" s="14">
        <f t="shared" si="26"/>
        <v>-0.45271347314937244</v>
      </c>
      <c r="AK26" s="14">
        <f t="shared" si="27"/>
        <v>-0.30000000000000004</v>
      </c>
      <c r="AL26" s="14">
        <f t="shared" si="28"/>
        <v>4.9875414727917899E-3</v>
      </c>
    </row>
    <row r="27" spans="1:38" ht="17.25" customHeight="1" x14ac:dyDescent="0.2">
      <c r="A27" s="19" t="s">
        <v>23</v>
      </c>
      <c r="B27" s="19">
        <v>2019</v>
      </c>
      <c r="C27" s="14">
        <v>1</v>
      </c>
      <c r="D27" s="14">
        <v>0</v>
      </c>
      <c r="E27" s="14">
        <v>0</v>
      </c>
      <c r="F27" s="14">
        <v>1111.83</v>
      </c>
      <c r="G27" s="16">
        <f t="shared" si="7"/>
        <v>-0.82180111993566907</v>
      </c>
      <c r="H27" s="14">
        <f t="shared" si="0"/>
        <v>7.0137625854256997</v>
      </c>
      <c r="I27" s="17">
        <v>55445</v>
      </c>
      <c r="J27" s="15">
        <v>32</v>
      </c>
      <c r="K27" s="14">
        <f t="shared" si="1"/>
        <v>5.7714852556587606E-2</v>
      </c>
      <c r="L27" s="16">
        <f t="shared" si="8"/>
        <v>0.22208245500009827</v>
      </c>
      <c r="M27" s="14">
        <v>1.036888899675622</v>
      </c>
      <c r="N27" s="16">
        <f t="shared" si="9"/>
        <v>0.42644191258817377</v>
      </c>
      <c r="O27" s="14">
        <v>1.43</v>
      </c>
      <c r="P27" s="17">
        <v>-7.0000000000000062E-2</v>
      </c>
      <c r="Q27" s="14">
        <v>40060</v>
      </c>
      <c r="R27" s="14">
        <f>[1]Feuil1!J61/panel_choc_taux_suisse_2014_202!Q27</f>
        <v>18226.828587951404</v>
      </c>
      <c r="S27" s="14">
        <v>34.4</v>
      </c>
      <c r="T27" s="17">
        <f t="shared" si="2"/>
        <v>-0.6376866707697183</v>
      </c>
      <c r="U27" s="17">
        <f t="shared" si="3"/>
        <v>-0.63792692632656001</v>
      </c>
      <c r="V27" s="14">
        <v>80461</v>
      </c>
      <c r="W27" s="16">
        <f t="shared" si="11"/>
        <v>-0.46151540206484654</v>
      </c>
      <c r="X27" s="14">
        <f t="shared" si="4"/>
        <v>11.295527873962465</v>
      </c>
      <c r="Y27" s="14">
        <v>1.6</v>
      </c>
      <c r="Z27" s="16">
        <f t="shared" si="12"/>
        <v>-0.80407574557107153</v>
      </c>
      <c r="AA27" s="14">
        <f t="shared" si="13"/>
        <v>0.47000362924573563</v>
      </c>
      <c r="AB27" s="14">
        <v>11052</v>
      </c>
      <c r="AC27" s="17">
        <v>163</v>
      </c>
      <c r="AD27" s="14">
        <f t="shared" si="5"/>
        <v>2.9398503021011812E-3</v>
      </c>
      <c r="AE27" s="14">
        <f t="shared" si="6"/>
        <v>-0.63780679854813915</v>
      </c>
      <c r="AF27" s="14">
        <f t="shared" si="14"/>
        <v>4.4646475898369779E-2</v>
      </c>
      <c r="AG27" s="14">
        <f t="shared" si="15"/>
        <v>4.3678527604502734E-2</v>
      </c>
      <c r="AH27" s="14">
        <f t="shared" si="16"/>
        <v>0.46465771289693691</v>
      </c>
      <c r="AI27" s="14">
        <f t="shared" si="25"/>
        <v>1.4039068347197592E-2</v>
      </c>
      <c r="AJ27" s="14">
        <f t="shared" si="26"/>
        <v>0.41800018405530215</v>
      </c>
      <c r="AK27" s="14">
        <f t="shared" si="27"/>
        <v>0.10000000000000009</v>
      </c>
      <c r="AL27" s="14">
        <f t="shared" si="28"/>
        <v>8.9537261906471599E-3</v>
      </c>
    </row>
    <row r="28" spans="1:38" ht="17.25" customHeight="1" x14ac:dyDescent="0.2">
      <c r="A28" s="19" t="s">
        <v>23</v>
      </c>
      <c r="B28" s="19">
        <v>2020</v>
      </c>
      <c r="C28" s="14">
        <v>1</v>
      </c>
      <c r="D28" s="14">
        <v>0</v>
      </c>
      <c r="E28" s="14">
        <v>0</v>
      </c>
      <c r="F28" s="14">
        <v>1106</v>
      </c>
      <c r="G28" s="16">
        <f t="shared" si="7"/>
        <v>-0.85135362211882237</v>
      </c>
      <c r="H28" s="14">
        <f t="shared" si="0"/>
        <v>7.0085051820822803</v>
      </c>
      <c r="I28" s="17">
        <v>55309</v>
      </c>
      <c r="J28" s="15">
        <v>-306</v>
      </c>
      <c r="K28" s="14">
        <f t="shared" si="1"/>
        <v>-0.55325534723101122</v>
      </c>
      <c r="L28" s="16">
        <f t="shared" si="8"/>
        <v>-1.668249677209581</v>
      </c>
      <c r="M28" s="14">
        <v>1.0413346451454319</v>
      </c>
      <c r="N28" s="16">
        <f t="shared" si="9"/>
        <v>0.61203884966534006</v>
      </c>
      <c r="O28" s="14">
        <v>1.33</v>
      </c>
      <c r="P28" s="17">
        <v>-9.9999999999999867E-2</v>
      </c>
      <c r="Q28" s="14">
        <v>38323</v>
      </c>
      <c r="R28" s="14">
        <f>[1]Feuil1!J62/panel_choc_taux_suisse_2014_202!Q28</f>
        <v>19555.274044959948</v>
      </c>
      <c r="S28" s="14">
        <v>34</v>
      </c>
      <c r="T28" s="17">
        <f t="shared" si="2"/>
        <v>-0.61534686768015212</v>
      </c>
      <c r="U28" s="17">
        <f t="shared" si="3"/>
        <v>-0.67831187905237078</v>
      </c>
      <c r="V28" s="14">
        <v>81105.175860000003</v>
      </c>
      <c r="W28" s="16">
        <f t="shared" si="11"/>
        <v>-0.42496736195371321</v>
      </c>
      <c r="X28" s="14">
        <f t="shared" si="4"/>
        <v>11.303502058782216</v>
      </c>
      <c r="Y28" s="14">
        <v>2.2000000000000002</v>
      </c>
      <c r="Z28" s="16">
        <f t="shared" si="12"/>
        <v>-0.28724090292959131</v>
      </c>
      <c r="AA28" s="14">
        <f t="shared" si="13"/>
        <v>0.78845736036427028</v>
      </c>
      <c r="AB28" s="14">
        <v>11206</v>
      </c>
      <c r="AC28" s="17">
        <v>215</v>
      </c>
      <c r="AD28" s="14">
        <f t="shared" si="5"/>
        <v>3.8872516227015496E-3</v>
      </c>
      <c r="AE28" s="14">
        <f t="shared" si="6"/>
        <v>-0.64682937336626145</v>
      </c>
      <c r="AF28" s="14">
        <f t="shared" si="14"/>
        <v>6.4682937336626056E-2</v>
      </c>
      <c r="AG28" s="14">
        <f t="shared" si="15"/>
        <v>6.2677043415537328E-2</v>
      </c>
      <c r="AH28" s="14">
        <f t="shared" si="16"/>
        <v>0.67070533357431961</v>
      </c>
      <c r="AI28" s="14">
        <f t="shared" si="25"/>
        <v>-5.2574033434193979E-3</v>
      </c>
      <c r="AJ28" s="14">
        <f t="shared" si="26"/>
        <v>-0.61097019978759881</v>
      </c>
      <c r="AK28" s="14">
        <f t="shared" si="27"/>
        <v>0.60000000000000009</v>
      </c>
      <c r="AL28" s="14">
        <f t="shared" si="28"/>
        <v>7.9741848197514287E-3</v>
      </c>
    </row>
    <row r="29" spans="1:38" ht="17.25" customHeight="1" x14ac:dyDescent="0.2">
      <c r="A29" s="19" t="s">
        <v>23</v>
      </c>
      <c r="B29" s="19">
        <v>2021</v>
      </c>
      <c r="C29" s="14">
        <v>1</v>
      </c>
      <c r="D29" s="14">
        <v>0</v>
      </c>
      <c r="E29" s="14">
        <v>0</v>
      </c>
      <c r="F29" s="14">
        <v>1147.83</v>
      </c>
      <c r="G29" s="16">
        <f t="shared" si="7"/>
        <v>-0.63931568621465118</v>
      </c>
      <c r="H29" s="14">
        <f t="shared" si="0"/>
        <v>7.0456284822903559</v>
      </c>
      <c r="I29" s="17">
        <v>55585</v>
      </c>
      <c r="J29" s="15">
        <v>157</v>
      </c>
      <c r="K29" s="14">
        <f t="shared" si="1"/>
        <v>0.28245030134028964</v>
      </c>
      <c r="L29" s="16">
        <f t="shared" si="8"/>
        <v>0.91741037808060721</v>
      </c>
      <c r="M29" s="14">
        <v>1.0457435779736526</v>
      </c>
      <c r="N29" s="16">
        <f t="shared" si="9"/>
        <v>0.79609896607405228</v>
      </c>
      <c r="O29" s="14">
        <v>1.25</v>
      </c>
      <c r="P29" s="17">
        <v>-8.0000000000000071E-2</v>
      </c>
      <c r="Q29" s="14">
        <v>39391</v>
      </c>
      <c r="R29" s="14">
        <f>[1]Feuil1!J63/panel_choc_taux_suisse_2014_202!Q29</f>
        <v>19627.574472595257</v>
      </c>
      <c r="S29" s="14">
        <v>34</v>
      </c>
      <c r="T29" s="17">
        <f t="shared" si="2"/>
        <v>-0.61413102753546067</v>
      </c>
      <c r="U29" s="17">
        <f t="shared" si="3"/>
        <v>-0.67831187905237078</v>
      </c>
      <c r="V29" s="14">
        <v>80942.965509999995</v>
      </c>
      <c r="W29" s="16">
        <f t="shared" si="11"/>
        <v>-0.43417054814302691</v>
      </c>
      <c r="X29" s="14">
        <f t="shared" si="4"/>
        <v>11.301500056132792</v>
      </c>
      <c r="Y29" s="14">
        <v>1.9</v>
      </c>
      <c r="Z29" s="16">
        <f t="shared" si="12"/>
        <v>-0.54565832425033156</v>
      </c>
      <c r="AA29" s="14">
        <f t="shared" si="13"/>
        <v>0.64185388617239469</v>
      </c>
      <c r="AB29" s="14">
        <v>11410</v>
      </c>
      <c r="AC29" s="17">
        <v>241</v>
      </c>
      <c r="AD29" s="14">
        <f t="shared" si="5"/>
        <v>4.3357020778987138E-3</v>
      </c>
      <c r="AE29" s="14">
        <f t="shared" si="6"/>
        <v>-0.64622145329391567</v>
      </c>
      <c r="AF29" s="14">
        <f t="shared" si="14"/>
        <v>5.1697716263513299E-2</v>
      </c>
      <c r="AG29" s="14">
        <f t="shared" si="15"/>
        <v>5.0405731070073449E-2</v>
      </c>
      <c r="AH29" s="14">
        <f t="shared" si="16"/>
        <v>0.53717008263544208</v>
      </c>
      <c r="AI29" s="14">
        <f t="shared" si="25"/>
        <v>3.7123300208075527E-2</v>
      </c>
      <c r="AJ29" s="14">
        <f t="shared" si="26"/>
        <v>0.83570564857130081</v>
      </c>
      <c r="AK29" s="14">
        <f t="shared" si="27"/>
        <v>-0.30000000000000027</v>
      </c>
      <c r="AL29" s="14">
        <f t="shared" si="28"/>
        <v>-2.0020026494247389E-3</v>
      </c>
    </row>
    <row r="30" spans="1:38" ht="17.25" customHeight="1" x14ac:dyDescent="0.2">
      <c r="A30" s="19" t="s">
        <v>23</v>
      </c>
      <c r="B30" s="19">
        <v>2022</v>
      </c>
      <c r="C30" s="14">
        <v>1</v>
      </c>
      <c r="D30" s="14">
        <v>0</v>
      </c>
      <c r="E30" s="14">
        <v>0</v>
      </c>
      <c r="F30" s="14">
        <v>1157.83</v>
      </c>
      <c r="G30" s="16">
        <f t="shared" si="7"/>
        <v>-0.58862528795881297</v>
      </c>
      <c r="H30" s="14">
        <f t="shared" si="0"/>
        <v>7.0543028425201317</v>
      </c>
      <c r="I30" s="17">
        <v>55759</v>
      </c>
      <c r="J30" s="15">
        <v>-91</v>
      </c>
      <c r="K30" s="14">
        <f t="shared" si="1"/>
        <v>-0.16320235298337488</v>
      </c>
      <c r="L30" s="16">
        <f t="shared" si="8"/>
        <v>-0.46143188389129208</v>
      </c>
      <c r="M30" s="14">
        <v>0.98600652141555722</v>
      </c>
      <c r="N30" s="16">
        <f t="shared" si="9"/>
        <v>-1.6977493215702677</v>
      </c>
      <c r="O30" s="14">
        <v>1.21</v>
      </c>
      <c r="P30" s="17">
        <v>-4.0000000000000036E-2</v>
      </c>
      <c r="Q30" s="14">
        <v>38325</v>
      </c>
      <c r="R30" s="14">
        <f>[1]Feuil1!J64/panel_choc_taux_suisse_2014_202!Q30</f>
        <v>20773.189757773431</v>
      </c>
      <c r="S30" s="14">
        <v>33.4</v>
      </c>
      <c r="T30" s="17">
        <f t="shared" si="2"/>
        <v>-0.59486578803898282</v>
      </c>
      <c r="U30" s="17">
        <f t="shared" si="3"/>
        <v>-0.73888930814108744</v>
      </c>
      <c r="V30" s="14">
        <v>81671.4522</v>
      </c>
      <c r="W30" s="16">
        <f t="shared" si="11"/>
        <v>-0.39283903850442164</v>
      </c>
      <c r="X30" s="14">
        <f t="shared" si="4"/>
        <v>11.310459797509283</v>
      </c>
      <c r="Y30" s="14">
        <v>1.3</v>
      </c>
      <c r="Z30" s="16">
        <f t="shared" si="12"/>
        <v>-1.0624931668918116</v>
      </c>
      <c r="AA30" s="14">
        <f t="shared" si="13"/>
        <v>0.26236426446749106</v>
      </c>
      <c r="AB30" s="14">
        <v>11647</v>
      </c>
      <c r="AC30" s="17">
        <v>198</v>
      </c>
      <c r="AD30" s="14">
        <f t="shared" si="5"/>
        <v>3.5509962517261788E-3</v>
      </c>
      <c r="AE30" s="14">
        <f t="shared" si="6"/>
        <v>-0.66687754809003508</v>
      </c>
      <c r="AF30" s="14">
        <f t="shared" si="14"/>
        <v>2.6675101923601428E-2</v>
      </c>
      <c r="AG30" s="14">
        <f t="shared" si="15"/>
        <v>2.6325524442972911E-2</v>
      </c>
      <c r="AH30" s="14">
        <f t="shared" si="16"/>
        <v>0.27984669428392595</v>
      </c>
      <c r="AI30" s="14">
        <f t="shared" si="25"/>
        <v>8.6743602297758571E-3</v>
      </c>
      <c r="AJ30" s="14">
        <f t="shared" si="26"/>
        <v>-0.44565265432366452</v>
      </c>
      <c r="AK30" s="14">
        <f t="shared" si="27"/>
        <v>-0.59999999999999987</v>
      </c>
      <c r="AL30" s="14">
        <f t="shared" si="28"/>
        <v>8.9597413764916922E-3</v>
      </c>
    </row>
    <row r="31" spans="1:38" ht="17.25" customHeight="1" x14ac:dyDescent="0.2">
      <c r="A31" s="19" t="s">
        <v>23</v>
      </c>
      <c r="B31" s="19">
        <v>2023</v>
      </c>
      <c r="C31" s="14">
        <v>1</v>
      </c>
      <c r="D31" s="14">
        <v>0</v>
      </c>
      <c r="E31" s="14">
        <v>0</v>
      </c>
      <c r="F31" s="14">
        <v>1285.29</v>
      </c>
      <c r="G31" s="16">
        <f t="shared" si="7"/>
        <v>5.7474528210101905E-2</v>
      </c>
      <c r="H31" s="14">
        <f t="shared" si="0"/>
        <v>7.1587396528010609</v>
      </c>
      <c r="I31" s="17">
        <v>56495</v>
      </c>
      <c r="J31" s="15">
        <v>58</v>
      </c>
      <c r="K31" s="14">
        <f t="shared" si="1"/>
        <v>0.10266395256217364</v>
      </c>
      <c r="L31" s="16">
        <f t="shared" si="8"/>
        <v>0.36115425929432499</v>
      </c>
      <c r="M31" s="14">
        <v>1.0341430614279774</v>
      </c>
      <c r="N31" s="16">
        <f t="shared" si="9"/>
        <v>0.31181115562449047</v>
      </c>
      <c r="O31" s="14">
        <v>1.48</v>
      </c>
      <c r="P31" s="17">
        <v>0.27</v>
      </c>
      <c r="Q31" s="14">
        <v>39609</v>
      </c>
      <c r="R31" s="14">
        <f>[1]Feuil1!J65/panel_choc_taux_suisse_2014_202!Q31</f>
        <v>20527.868453928822</v>
      </c>
      <c r="S31" s="14">
        <v>34.1</v>
      </c>
      <c r="T31" s="17">
        <f t="shared" si="2"/>
        <v>-0.59899123375649488</v>
      </c>
      <c r="U31" s="17">
        <f t="shared" si="3"/>
        <v>-0.66821564087091789</v>
      </c>
      <c r="V31" s="14">
        <v>95555.599069999997</v>
      </c>
      <c r="W31" s="16">
        <f t="shared" si="11"/>
        <v>0.39489361064145573</v>
      </c>
      <c r="X31" s="14">
        <f t="shared" si="4"/>
        <v>11.467463546277088</v>
      </c>
      <c r="Y31" s="14">
        <v>1.2</v>
      </c>
      <c r="Z31" s="16">
        <f t="shared" si="12"/>
        <v>-1.1486323073320583</v>
      </c>
      <c r="AA31" s="14">
        <f t="shared" si="13"/>
        <v>0.18232155679395459</v>
      </c>
      <c r="AB31" s="14">
        <v>11966</v>
      </c>
      <c r="AC31" s="17">
        <v>215</v>
      </c>
      <c r="AD31" s="14">
        <f t="shared" si="5"/>
        <v>3.8056465173909194E-3</v>
      </c>
      <c r="AE31" s="14">
        <f t="shared" si="6"/>
        <v>-0.63360343731370639</v>
      </c>
      <c r="AF31" s="14">
        <f t="shared" si="14"/>
        <v>-0.17107292807470073</v>
      </c>
      <c r="AG31" s="14">
        <f t="shared" si="15"/>
        <v>-0.18762309885609638</v>
      </c>
      <c r="AH31" s="14">
        <f t="shared" si="16"/>
        <v>-1.7537215183642967</v>
      </c>
      <c r="AI31" s="14">
        <f t="shared" si="25"/>
        <v>0.10443681028092922</v>
      </c>
      <c r="AJ31" s="14">
        <f t="shared" si="26"/>
        <v>0.26586630554554852</v>
      </c>
      <c r="AK31" s="14">
        <f t="shared" si="27"/>
        <v>-0.10000000000000009</v>
      </c>
      <c r="AL31" s="14">
        <f t="shared" si="28"/>
        <v>0.15700374876780465</v>
      </c>
    </row>
    <row r="32" spans="1:38" ht="17.25" customHeight="1" x14ac:dyDescent="0.2">
      <c r="A32" s="19" t="s">
        <v>22</v>
      </c>
      <c r="B32" s="19">
        <v>2014</v>
      </c>
      <c r="C32" s="14">
        <v>0</v>
      </c>
      <c r="D32" s="14">
        <v>0</v>
      </c>
      <c r="E32" s="14">
        <v>1</v>
      </c>
      <c r="F32" s="14">
        <v>1176</v>
      </c>
      <c r="G32" s="16">
        <f t="shared" si="7"/>
        <v>-0.49652083432795441</v>
      </c>
      <c r="H32" s="14">
        <f t="shared" si="0"/>
        <v>7.0698741284585722</v>
      </c>
      <c r="I32" s="17">
        <v>1009370</v>
      </c>
      <c r="J32" s="15">
        <v>712</v>
      </c>
      <c r="K32" s="14">
        <f t="shared" si="1"/>
        <v>7.0539049109840796E-2</v>
      </c>
      <c r="L32" s="16">
        <f t="shared" si="8"/>
        <v>0.26176031624900159</v>
      </c>
      <c r="M32" s="14">
        <v>1.0281149308624065</v>
      </c>
      <c r="N32" s="16">
        <f t="shared" si="9"/>
        <v>6.0154245243822686E-2</v>
      </c>
      <c r="O32" s="14">
        <v>1.95</v>
      </c>
      <c r="P32" s="17">
        <v>0</v>
      </c>
      <c r="Q32" s="14">
        <v>5311</v>
      </c>
      <c r="R32" s="14">
        <f>[1]Feuil1!J66/panel_choc_taux_suisse_2014_202!Q32</f>
        <v>119527.83531036215</v>
      </c>
      <c r="S32" s="14">
        <v>47</v>
      </c>
      <c r="T32" s="17">
        <f t="shared" si="2"/>
        <v>1.0658417134888931</v>
      </c>
      <c r="U32" s="17">
        <f t="shared" si="3"/>
        <v>0.6341990845364861</v>
      </c>
      <c r="V32" s="14">
        <v>74053.073770000003</v>
      </c>
      <c r="W32" s="16">
        <f t="shared" si="11"/>
        <v>-0.82507628570805258</v>
      </c>
      <c r="X32" s="14">
        <f t="shared" si="4"/>
        <v>11.212537328220005</v>
      </c>
      <c r="Y32" s="14">
        <v>2.2999999999999998</v>
      </c>
      <c r="Z32" s="16">
        <f t="shared" si="12"/>
        <v>-0.20110176248934492</v>
      </c>
      <c r="AA32" s="14">
        <f t="shared" si="13"/>
        <v>0.83290912293510388</v>
      </c>
      <c r="AB32" s="14">
        <v>197134</v>
      </c>
      <c r="AC32" s="17">
        <v>4240</v>
      </c>
      <c r="AD32" s="14">
        <f t="shared" si="5"/>
        <v>4.2006400031702942E-3</v>
      </c>
      <c r="AE32" s="14">
        <f t="shared" si="6"/>
        <v>0.85002039901268955</v>
      </c>
      <c r="AF32" s="14">
        <f t="shared" si="14"/>
        <v>0</v>
      </c>
      <c r="AG32" s="14">
        <f t="shared" si="15"/>
        <v>0</v>
      </c>
      <c r="AH32" s="14">
        <f t="shared" si="16"/>
        <v>5.5297297030243815E-3</v>
      </c>
      <c r="AI32" s="14">
        <v>0</v>
      </c>
      <c r="AJ32" s="14">
        <v>0</v>
      </c>
      <c r="AK32" s="14">
        <v>0</v>
      </c>
      <c r="AL32" s="14">
        <v>0</v>
      </c>
    </row>
    <row r="33" spans="1:38" ht="17.25" customHeight="1" x14ac:dyDescent="0.2">
      <c r="A33" s="19" t="s">
        <v>22</v>
      </c>
      <c r="B33" s="19">
        <v>2015</v>
      </c>
      <c r="C33" s="14">
        <v>0</v>
      </c>
      <c r="D33" s="14">
        <v>0</v>
      </c>
      <c r="E33" s="14">
        <v>1</v>
      </c>
      <c r="F33" s="14">
        <v>1131.83</v>
      </c>
      <c r="G33" s="16">
        <f t="shared" si="7"/>
        <v>-0.72042032342399243</v>
      </c>
      <c r="H33" s="14">
        <f t="shared" si="0"/>
        <v>7.0315910708070364</v>
      </c>
      <c r="I33" s="17">
        <v>1017434</v>
      </c>
      <c r="J33" s="15">
        <v>856</v>
      </c>
      <c r="K33" s="14">
        <f t="shared" si="1"/>
        <v>8.4133221417802037E-2</v>
      </c>
      <c r="L33" s="16">
        <f t="shared" si="8"/>
        <v>0.30382047030147058</v>
      </c>
      <c r="M33" s="14">
        <v>1.0174024043472965</v>
      </c>
      <c r="N33" s="16">
        <f t="shared" si="9"/>
        <v>-0.38706256531446542</v>
      </c>
      <c r="O33" s="14">
        <v>1.84</v>
      </c>
      <c r="P33" s="17">
        <v>-0.10999999999999988</v>
      </c>
      <c r="Q33" s="14">
        <v>5595</v>
      </c>
      <c r="R33" s="14">
        <f>[1]Feuil1!J67/panel_choc_taux_suisse_2014_202!Q33</f>
        <v>117262.23188710157</v>
      </c>
      <c r="S33" s="14">
        <v>49.7</v>
      </c>
      <c r="T33" s="17">
        <f t="shared" si="2"/>
        <v>1.0277421934162656</v>
      </c>
      <c r="U33" s="17">
        <f t="shared" si="3"/>
        <v>0.90679751543571052</v>
      </c>
      <c r="V33" s="14">
        <v>74349.286070000002</v>
      </c>
      <c r="W33" s="16">
        <f t="shared" si="11"/>
        <v>-0.80827034855012969</v>
      </c>
      <c r="X33" s="14">
        <f t="shared" si="4"/>
        <v>11.216529349555715</v>
      </c>
      <c r="Y33" s="14">
        <v>2.5</v>
      </c>
      <c r="Z33" s="16">
        <f t="shared" si="12"/>
        <v>-2.882348160885137E-2</v>
      </c>
      <c r="AA33" s="14">
        <f t="shared" si="13"/>
        <v>0.91629073187415511</v>
      </c>
      <c r="AB33" s="14">
        <v>201208</v>
      </c>
      <c r="AC33" s="17">
        <v>4812</v>
      </c>
      <c r="AD33" s="14">
        <f t="shared" si="5"/>
        <v>4.7295451105427971E-3</v>
      </c>
      <c r="AE33" s="14">
        <f t="shared" si="6"/>
        <v>0.96726985442598812</v>
      </c>
      <c r="AF33" s="14">
        <f t="shared" si="14"/>
        <v>-0.10639968398685858</v>
      </c>
      <c r="AG33" s="14">
        <f t="shared" si="15"/>
        <v>-0.11249667758671916</v>
      </c>
      <c r="AH33" s="14">
        <f t="shared" si="16"/>
        <v>-1.0886455963083115</v>
      </c>
      <c r="AI33" s="14">
        <f t="shared" ref="AI33:AI41" si="29">LN(F33)-LN(F32)</f>
        <v>-3.8283057651535835E-2</v>
      </c>
      <c r="AJ33" s="14">
        <f t="shared" ref="AJ33:AJ41" si="30">K33-K32</f>
        <v>1.3594172307961241E-2</v>
      </c>
      <c r="AK33" s="14">
        <f t="shared" ref="AK33:AK41" si="31">Y33-Y32</f>
        <v>0.20000000000000018</v>
      </c>
      <c r="AL33" s="14">
        <f t="shared" ref="AL33:AL41" si="32">LN(V33)-LN(V32)</f>
        <v>3.9920213357103052E-3</v>
      </c>
    </row>
    <row r="34" spans="1:38" ht="17.25" customHeight="1" x14ac:dyDescent="0.2">
      <c r="A34" s="19" t="s">
        <v>22</v>
      </c>
      <c r="B34" s="19">
        <v>2016</v>
      </c>
      <c r="C34" s="14">
        <v>0</v>
      </c>
      <c r="D34" s="14">
        <v>0</v>
      </c>
      <c r="E34" s="14">
        <v>1</v>
      </c>
      <c r="F34" s="14">
        <v>1151.17</v>
      </c>
      <c r="G34" s="16">
        <f t="shared" si="7"/>
        <v>-0.62238509319720048</v>
      </c>
      <c r="H34" s="14">
        <f t="shared" si="0"/>
        <v>7.0485340954698721</v>
      </c>
      <c r="I34" s="17">
        <v>1026464</v>
      </c>
      <c r="J34" s="15">
        <v>748</v>
      </c>
      <c r="K34" s="14">
        <f t="shared" si="1"/>
        <v>7.2871527886024245E-2</v>
      </c>
      <c r="L34" s="16">
        <f t="shared" si="8"/>
        <v>0.26897696868123072</v>
      </c>
      <c r="M34" s="14">
        <v>0.98347652295718835</v>
      </c>
      <c r="N34" s="16">
        <f t="shared" si="9"/>
        <v>-1.8033693953850858</v>
      </c>
      <c r="O34" s="14">
        <v>1.71</v>
      </c>
      <c r="P34" s="17">
        <v>-0.13000000000000012</v>
      </c>
      <c r="Q34" s="14">
        <v>5583</v>
      </c>
      <c r="R34" s="14">
        <f>[1]Feuil1!J68/panel_choc_taux_suisse_2014_202!Q34</f>
        <v>121007.18089139649</v>
      </c>
      <c r="S34" s="14">
        <v>50.6</v>
      </c>
      <c r="T34" s="17">
        <f t="shared" si="2"/>
        <v>1.0907191285211568</v>
      </c>
      <c r="U34" s="17">
        <f t="shared" si="3"/>
        <v>0.99766365906878518</v>
      </c>
      <c r="V34" s="14">
        <v>74869.731069999994</v>
      </c>
      <c r="W34" s="16">
        <f t="shared" si="11"/>
        <v>-0.77874231759343027</v>
      </c>
      <c r="X34" s="14">
        <f t="shared" si="4"/>
        <v>11.223504963258883</v>
      </c>
      <c r="Y34" s="14">
        <v>2.7</v>
      </c>
      <c r="Z34" s="16">
        <f t="shared" si="12"/>
        <v>0.14345479927164217</v>
      </c>
      <c r="AA34" s="14">
        <f t="shared" si="13"/>
        <v>0.99325177301028345</v>
      </c>
      <c r="AB34" s="14">
        <v>204977</v>
      </c>
      <c r="AC34" s="17">
        <v>4283</v>
      </c>
      <c r="AD34" s="14">
        <f t="shared" si="5"/>
        <v>4.1725769242759612E-3</v>
      </c>
      <c r="AE34" s="14">
        <f t="shared" si="6"/>
        <v>1.0441913937949709</v>
      </c>
      <c r="AF34" s="14">
        <f t="shared" si="14"/>
        <v>-0.13574488119334635</v>
      </c>
      <c r="AG34" s="14">
        <f t="shared" si="15"/>
        <v>-0.14588727736698714</v>
      </c>
      <c r="AH34" s="14">
        <f t="shared" si="16"/>
        <v>-1.3904208414701438</v>
      </c>
      <c r="AI34" s="14">
        <f t="shared" si="29"/>
        <v>1.6943024662835704E-2</v>
      </c>
      <c r="AJ34" s="14">
        <f t="shared" si="30"/>
        <v>-1.1261693531777792E-2</v>
      </c>
      <c r="AK34" s="14">
        <f t="shared" si="31"/>
        <v>0.20000000000000018</v>
      </c>
      <c r="AL34" s="14">
        <f t="shared" si="32"/>
        <v>6.9756137031671273E-3</v>
      </c>
    </row>
    <row r="35" spans="1:38" ht="17.25" customHeight="1" x14ac:dyDescent="0.2">
      <c r="A35" s="19" t="s">
        <v>22</v>
      </c>
      <c r="B35" s="19">
        <v>2017</v>
      </c>
      <c r="C35" s="14">
        <v>0</v>
      </c>
      <c r="D35" s="14">
        <v>0</v>
      </c>
      <c r="E35" s="14">
        <v>1</v>
      </c>
      <c r="F35" s="14">
        <v>1153.83</v>
      </c>
      <c r="G35" s="16">
        <f t="shared" si="7"/>
        <v>-0.60890144726114825</v>
      </c>
      <c r="H35" s="14">
        <f t="shared" si="0"/>
        <v>7.0508421225248092</v>
      </c>
      <c r="I35" s="17">
        <v>1031080</v>
      </c>
      <c r="J35" s="15">
        <v>364</v>
      </c>
      <c r="K35" s="14">
        <f t="shared" si="1"/>
        <v>3.5302789308298096E-2</v>
      </c>
      <c r="L35" s="16">
        <f t="shared" si="8"/>
        <v>0.15273988588283893</v>
      </c>
      <c r="M35" s="14">
        <v>1.0635156673797794</v>
      </c>
      <c r="N35" s="16">
        <f t="shared" si="9"/>
        <v>1.5380319853253162</v>
      </c>
      <c r="O35" s="14">
        <v>1.56</v>
      </c>
      <c r="P35" s="17">
        <v>-0.14999999999999991</v>
      </c>
      <c r="Q35" s="14">
        <v>5814</v>
      </c>
      <c r="R35" s="14">
        <f>[1]Feuil1!J69/panel_choc_taux_suisse_2014_202!Q35</f>
        <v>119087.11889691546</v>
      </c>
      <c r="S35" s="14">
        <v>49.1</v>
      </c>
      <c r="T35" s="17">
        <f t="shared" si="2"/>
        <v>1.0584304059016705</v>
      </c>
      <c r="U35" s="17">
        <f t="shared" si="3"/>
        <v>0.84622008634699397</v>
      </c>
      <c r="V35" s="14">
        <v>75169.210000000006</v>
      </c>
      <c r="W35" s="16">
        <f t="shared" si="11"/>
        <v>-0.76175104451765918</v>
      </c>
      <c r="X35" s="14">
        <f t="shared" si="4"/>
        <v>11.227496984604516</v>
      </c>
      <c r="Y35" s="14">
        <v>2.5</v>
      </c>
      <c r="Z35" s="16">
        <f t="shared" si="12"/>
        <v>-2.882348160885137E-2</v>
      </c>
      <c r="AA35" s="14">
        <f t="shared" si="13"/>
        <v>0.91629073187415511</v>
      </c>
      <c r="AB35" s="14">
        <v>211983</v>
      </c>
      <c r="AC35" s="17">
        <v>4282</v>
      </c>
      <c r="AD35" s="14">
        <f t="shared" si="5"/>
        <v>4.1529270279706716E-3</v>
      </c>
      <c r="AE35" s="14">
        <f t="shared" si="6"/>
        <v>0.95232524612433223</v>
      </c>
      <c r="AF35" s="14">
        <f t="shared" si="14"/>
        <v>-0.14284878691864974</v>
      </c>
      <c r="AG35" s="14">
        <f t="shared" si="15"/>
        <v>-0.15414093127986694</v>
      </c>
      <c r="AH35" s="14">
        <f t="shared" si="16"/>
        <v>-1.4634748024565098</v>
      </c>
      <c r="AI35" s="14">
        <f t="shared" si="29"/>
        <v>2.3080270549371562E-3</v>
      </c>
      <c r="AJ35" s="14">
        <f t="shared" si="30"/>
        <v>-3.7568738577726149E-2</v>
      </c>
      <c r="AK35" s="14">
        <f t="shared" si="31"/>
        <v>-0.20000000000000018</v>
      </c>
      <c r="AL35" s="14">
        <f t="shared" si="32"/>
        <v>3.9920213456330345E-3</v>
      </c>
    </row>
    <row r="36" spans="1:38" ht="17.25" customHeight="1" x14ac:dyDescent="0.2">
      <c r="A36" s="19" t="s">
        <v>22</v>
      </c>
      <c r="B36" s="19">
        <v>2018</v>
      </c>
      <c r="C36" s="14">
        <v>0</v>
      </c>
      <c r="D36" s="14">
        <v>0</v>
      </c>
      <c r="E36" s="14">
        <v>1</v>
      </c>
      <c r="F36" s="14">
        <v>1181</v>
      </c>
      <c r="G36" s="16">
        <f t="shared" si="7"/>
        <v>-0.4711756352000353</v>
      </c>
      <c r="H36" s="14">
        <f t="shared" si="0"/>
        <v>7.0741168161973622</v>
      </c>
      <c r="I36" s="17">
        <v>1034931</v>
      </c>
      <c r="J36" s="15">
        <v>57</v>
      </c>
      <c r="K36" s="14">
        <f t="shared" si="1"/>
        <v>5.5076135510483308E-3</v>
      </c>
      <c r="L36" s="16">
        <f t="shared" si="8"/>
        <v>6.0554083468343955E-2</v>
      </c>
      <c r="M36" s="14">
        <v>1.0301138707197743</v>
      </c>
      <c r="N36" s="16">
        <f t="shared" si="9"/>
        <v>0.14360416774800241</v>
      </c>
      <c r="O36" s="14">
        <v>1.5</v>
      </c>
      <c r="P36" s="17">
        <v>-6.0000000000000053E-2</v>
      </c>
      <c r="Q36" s="14">
        <v>5523</v>
      </c>
      <c r="R36" s="14">
        <f>[1]Feuil1!J70/panel_choc_taux_suisse_2014_202!Q36</f>
        <v>128705.25805117992</v>
      </c>
      <c r="S36" s="14">
        <v>46.2</v>
      </c>
      <c r="T36" s="17">
        <f t="shared" si="2"/>
        <v>1.220173843436668</v>
      </c>
      <c r="U36" s="17">
        <f t="shared" si="3"/>
        <v>0.55342917908486444</v>
      </c>
      <c r="V36" s="14">
        <v>75545.056049999999</v>
      </c>
      <c r="W36" s="16">
        <f t="shared" si="11"/>
        <v>-0.74042699721323102</v>
      </c>
      <c r="X36" s="14">
        <f t="shared" si="4"/>
        <v>11.232484526115554</v>
      </c>
      <c r="Y36" s="14">
        <v>1.9</v>
      </c>
      <c r="Z36" s="16">
        <f t="shared" si="12"/>
        <v>-0.54565832425033156</v>
      </c>
      <c r="AA36" s="14">
        <f t="shared" si="13"/>
        <v>0.64185388617239469</v>
      </c>
      <c r="AB36" s="14">
        <v>215471</v>
      </c>
      <c r="AC36" s="17">
        <v>4970</v>
      </c>
      <c r="AD36" s="14">
        <f t="shared" si="5"/>
        <v>4.8022525173175793E-3</v>
      </c>
      <c r="AE36" s="14">
        <f t="shared" si="6"/>
        <v>0.88680151126076623</v>
      </c>
      <c r="AF36" s="14">
        <f t="shared" si="14"/>
        <v>-5.3208090675646018E-2</v>
      </c>
      <c r="AG36" s="14">
        <f t="shared" si="15"/>
        <v>-5.4675946663616574E-2</v>
      </c>
      <c r="AH36" s="14">
        <f t="shared" si="16"/>
        <v>-0.54164275972519915</v>
      </c>
      <c r="AI36" s="14">
        <f t="shared" si="29"/>
        <v>2.3274693672552971E-2</v>
      </c>
      <c r="AJ36" s="14">
        <f t="shared" si="30"/>
        <v>-2.9795175757249766E-2</v>
      </c>
      <c r="AK36" s="14">
        <f t="shared" si="31"/>
        <v>-0.60000000000000009</v>
      </c>
      <c r="AL36" s="14">
        <f t="shared" si="32"/>
        <v>4.9875415110385291E-3</v>
      </c>
    </row>
    <row r="37" spans="1:38" ht="17.25" customHeight="1" x14ac:dyDescent="0.2">
      <c r="A37" s="19" t="s">
        <v>22</v>
      </c>
      <c r="B37" s="19">
        <v>2019</v>
      </c>
      <c r="C37" s="14">
        <v>0</v>
      </c>
      <c r="D37" s="14">
        <v>0</v>
      </c>
      <c r="E37" s="14">
        <v>1</v>
      </c>
      <c r="F37" s="14">
        <v>1201.33</v>
      </c>
      <c r="G37" s="16">
        <f t="shared" si="7"/>
        <v>-0.36812205554591643</v>
      </c>
      <c r="H37" s="14">
        <f t="shared" si="0"/>
        <v>7.0911845553614858</v>
      </c>
      <c r="I37" s="17">
        <v>1039426</v>
      </c>
      <c r="J37" s="15">
        <v>75</v>
      </c>
      <c r="K37" s="14">
        <f t="shared" si="1"/>
        <v>7.2155208740208535E-3</v>
      </c>
      <c r="L37" s="16">
        <f t="shared" si="8"/>
        <v>6.5838321705452008E-2</v>
      </c>
      <c r="M37" s="14">
        <v>1.036888899675622</v>
      </c>
      <c r="N37" s="16">
        <f t="shared" si="9"/>
        <v>0.42644191258817377</v>
      </c>
      <c r="O37" s="14">
        <v>1.43</v>
      </c>
      <c r="P37" s="17">
        <v>-7.0000000000000062E-2</v>
      </c>
      <c r="Q37" s="14">
        <v>5263</v>
      </c>
      <c r="R37" s="14">
        <f>[1]Feuil1!J71/panel_choc_taux_suisse_2014_202!Q37</f>
        <v>138735.84518968902</v>
      </c>
      <c r="S37" s="14">
        <v>42.9</v>
      </c>
      <c r="T37" s="17">
        <f t="shared" si="2"/>
        <v>1.3888532125178974</v>
      </c>
      <c r="U37" s="17">
        <f t="shared" si="3"/>
        <v>0.22025331909692342</v>
      </c>
      <c r="V37" s="14">
        <v>76225</v>
      </c>
      <c r="W37" s="16">
        <f t="shared" si="11"/>
        <v>-0.70184961438810878</v>
      </c>
      <c r="X37" s="14">
        <f t="shared" si="4"/>
        <v>11.241444771856456</v>
      </c>
      <c r="Y37" s="14">
        <v>1.8</v>
      </c>
      <c r="Z37" s="16">
        <f t="shared" si="12"/>
        <v>-0.63179746469057818</v>
      </c>
      <c r="AA37" s="14">
        <f t="shared" si="13"/>
        <v>0.58778666490211906</v>
      </c>
      <c r="AB37" s="14">
        <v>218932</v>
      </c>
      <c r="AC37" s="17">
        <v>3417</v>
      </c>
      <c r="AD37" s="14">
        <f t="shared" si="5"/>
        <v>3.2873913102039009E-3</v>
      </c>
      <c r="AE37" s="14">
        <f t="shared" si="6"/>
        <v>0.80455326580741038</v>
      </c>
      <c r="AF37" s="14">
        <f t="shared" si="14"/>
        <v>-5.6318728606518778E-2</v>
      </c>
      <c r="AG37" s="14">
        <f t="shared" si="15"/>
        <v>-5.7966806084302457E-2</v>
      </c>
      <c r="AH37" s="14">
        <f t="shared" si="16"/>
        <v>-0.57363141932061967</v>
      </c>
      <c r="AI37" s="14">
        <f t="shared" si="29"/>
        <v>1.706773916412363E-2</v>
      </c>
      <c r="AJ37" s="14">
        <f t="shared" si="30"/>
        <v>1.7079073229725227E-3</v>
      </c>
      <c r="AK37" s="14">
        <f t="shared" si="31"/>
        <v>-9.9999999999999867E-2</v>
      </c>
      <c r="AL37" s="14">
        <f t="shared" si="32"/>
        <v>8.9602457409014846E-3</v>
      </c>
    </row>
    <row r="38" spans="1:38" ht="17.25" customHeight="1" x14ac:dyDescent="0.2">
      <c r="A38" s="19" t="s">
        <v>22</v>
      </c>
      <c r="B38" s="19">
        <v>2020</v>
      </c>
      <c r="C38" s="14">
        <v>0</v>
      </c>
      <c r="D38" s="14">
        <v>0</v>
      </c>
      <c r="E38" s="14">
        <v>1</v>
      </c>
      <c r="F38" s="14">
        <v>1216.5</v>
      </c>
      <c r="G38" s="16">
        <f t="shared" si="7"/>
        <v>-0.29122472139180944</v>
      </c>
      <c r="H38" s="14">
        <f t="shared" si="0"/>
        <v>7.1037331622235769</v>
      </c>
      <c r="I38" s="17">
        <v>1043081</v>
      </c>
      <c r="J38" s="15">
        <v>250</v>
      </c>
      <c r="K38" s="14">
        <f t="shared" si="1"/>
        <v>2.3967457944301544E-2</v>
      </c>
      <c r="L38" s="16">
        <f t="shared" si="8"/>
        <v>0.11766854997471109</v>
      </c>
      <c r="M38" s="14">
        <v>1.0413346451454319</v>
      </c>
      <c r="N38" s="16">
        <f t="shared" si="9"/>
        <v>0.61203884966534006</v>
      </c>
      <c r="O38" s="14">
        <v>1.33</v>
      </c>
      <c r="P38" s="17">
        <v>-9.9999999999999867E-2</v>
      </c>
      <c r="Q38" s="14">
        <v>5262</v>
      </c>
      <c r="R38" s="14">
        <f>[1]Feuil1!J72/panel_choc_taux_suisse_2014_202!Q38</f>
        <v>142420.51828677309</v>
      </c>
      <c r="S38" s="14">
        <v>44.4</v>
      </c>
      <c r="T38" s="17">
        <f t="shared" si="2"/>
        <v>1.4508165178263743</v>
      </c>
      <c r="U38" s="17">
        <f t="shared" si="3"/>
        <v>0.37169689181871463</v>
      </c>
      <c r="V38" s="14">
        <v>76834.761240000007</v>
      </c>
      <c r="W38" s="16">
        <f t="shared" si="11"/>
        <v>-0.66725412635207071</v>
      </c>
      <c r="X38" s="14">
        <f t="shared" si="4"/>
        <v>11.249412437046589</v>
      </c>
      <c r="Y38" s="14">
        <v>2.5</v>
      </c>
      <c r="Z38" s="16">
        <f t="shared" si="12"/>
        <v>-2.882348160885137E-2</v>
      </c>
      <c r="AA38" s="14">
        <f t="shared" si="13"/>
        <v>0.91629073187415511</v>
      </c>
      <c r="AB38" s="14">
        <v>222418</v>
      </c>
      <c r="AC38" s="17">
        <v>3613</v>
      </c>
      <c r="AD38" s="14">
        <f t="shared" si="5"/>
        <v>3.4637770221104592E-3</v>
      </c>
      <c r="AE38" s="14">
        <f t="shared" si="6"/>
        <v>0.91125670482254451</v>
      </c>
      <c r="AF38" s="14">
        <f t="shared" si="14"/>
        <v>-9.1125670482254326E-2</v>
      </c>
      <c r="AG38" s="14">
        <f t="shared" si="15"/>
        <v>-9.5548445717873062E-2</v>
      </c>
      <c r="AH38" s="14">
        <f t="shared" si="16"/>
        <v>-0.93157324346216908</v>
      </c>
      <c r="AI38" s="14">
        <f t="shared" si="29"/>
        <v>1.2548606862091027E-2</v>
      </c>
      <c r="AJ38" s="14">
        <f t="shared" si="30"/>
        <v>1.6751937070280692E-2</v>
      </c>
      <c r="AK38" s="14">
        <f t="shared" si="31"/>
        <v>0.7</v>
      </c>
      <c r="AL38" s="14">
        <f t="shared" si="32"/>
        <v>7.9676651901330331E-3</v>
      </c>
    </row>
    <row r="39" spans="1:38" ht="17.25" customHeight="1" x14ac:dyDescent="0.2">
      <c r="A39" s="19" t="s">
        <v>22</v>
      </c>
      <c r="B39" s="19">
        <v>2021</v>
      </c>
      <c r="C39" s="14">
        <v>0</v>
      </c>
      <c r="D39" s="14">
        <v>0</v>
      </c>
      <c r="E39" s="14">
        <v>1</v>
      </c>
      <c r="F39" s="14">
        <v>1232</v>
      </c>
      <c r="G39" s="16">
        <f t="shared" si="7"/>
        <v>-0.21265460409526007</v>
      </c>
      <c r="H39" s="14">
        <f t="shared" si="0"/>
        <v>7.1163941440934648</v>
      </c>
      <c r="I39" s="17">
        <v>1047422</v>
      </c>
      <c r="J39" s="15">
        <v>183</v>
      </c>
      <c r="K39" s="14">
        <f t="shared" si="1"/>
        <v>1.7471468042489082E-2</v>
      </c>
      <c r="L39" s="16">
        <f t="shared" si="8"/>
        <v>9.7570059989152622E-2</v>
      </c>
      <c r="M39" s="14">
        <v>1.0457435779736526</v>
      </c>
      <c r="N39" s="16">
        <f t="shared" si="9"/>
        <v>0.79609896607405228</v>
      </c>
      <c r="O39" s="14">
        <v>1.25</v>
      </c>
      <c r="P39" s="17">
        <v>-8.0000000000000071E-2</v>
      </c>
      <c r="Q39" s="14">
        <v>5700</v>
      </c>
      <c r="R39" s="14">
        <f>[1]Feuil1!J73/panel_choc_taux_suisse_2014_202!Q39</f>
        <v>135640.31334210525</v>
      </c>
      <c r="S39" s="14">
        <v>48.2</v>
      </c>
      <c r="T39" s="17">
        <f t="shared" si="2"/>
        <v>1.3367972010590414</v>
      </c>
      <c r="U39" s="17">
        <f t="shared" si="3"/>
        <v>0.75535394271391942</v>
      </c>
      <c r="V39" s="14">
        <v>76681.091719999997</v>
      </c>
      <c r="W39" s="16">
        <f t="shared" si="11"/>
        <v>-0.6759727389694683</v>
      </c>
      <c r="X39" s="14">
        <f t="shared" si="4"/>
        <v>11.247410434408257</v>
      </c>
      <c r="Y39" s="14">
        <v>2.4</v>
      </c>
      <c r="Z39" s="16">
        <f t="shared" si="12"/>
        <v>-0.11496262204909814</v>
      </c>
      <c r="AA39" s="14">
        <f t="shared" si="13"/>
        <v>0.87546873735389985</v>
      </c>
      <c r="AB39" s="14">
        <v>226516</v>
      </c>
      <c r="AC39" s="17">
        <v>3532</v>
      </c>
      <c r="AD39" s="14">
        <f t="shared" si="5"/>
        <v>3.3720888047033574E-3</v>
      </c>
      <c r="AE39" s="14">
        <f t="shared" si="6"/>
        <v>1.0460755718864805</v>
      </c>
      <c r="AF39" s="14">
        <f t="shared" si="14"/>
        <v>-8.3686045750918509E-2</v>
      </c>
      <c r="AG39" s="14">
        <f t="shared" si="15"/>
        <v>-8.7396228218184879E-2</v>
      </c>
      <c r="AH39" s="14">
        <f t="shared" si="16"/>
        <v>-0.85506687134910186</v>
      </c>
      <c r="AI39" s="14">
        <f t="shared" si="29"/>
        <v>1.2660981869887955E-2</v>
      </c>
      <c r="AJ39" s="14">
        <f t="shared" si="30"/>
        <v>-6.4959899018124621E-3</v>
      </c>
      <c r="AK39" s="14">
        <f t="shared" si="31"/>
        <v>-0.10000000000000009</v>
      </c>
      <c r="AL39" s="14">
        <f t="shared" si="32"/>
        <v>-2.0020026383313905E-3</v>
      </c>
    </row>
    <row r="40" spans="1:38" ht="17.25" customHeight="1" x14ac:dyDescent="0.2">
      <c r="A40" s="19" t="s">
        <v>22</v>
      </c>
      <c r="B40" s="19">
        <v>2022</v>
      </c>
      <c r="C40" s="14">
        <v>0</v>
      </c>
      <c r="D40" s="14">
        <v>0</v>
      </c>
      <c r="E40" s="14">
        <v>1</v>
      </c>
      <c r="F40" s="14">
        <v>1243.67</v>
      </c>
      <c r="G40" s="16">
        <f t="shared" si="7"/>
        <v>-0.15349890933069646</v>
      </c>
      <c r="H40" s="14">
        <f t="shared" si="0"/>
        <v>7.1258219647960388</v>
      </c>
      <c r="I40" s="17">
        <v>1051437</v>
      </c>
      <c r="J40" s="15">
        <v>-296</v>
      </c>
      <c r="K40" s="14">
        <f t="shared" si="1"/>
        <v>-2.8151948238458416E-2</v>
      </c>
      <c r="L40" s="16">
        <f t="shared" si="8"/>
        <v>-4.3588068192934537E-2</v>
      </c>
      <c r="M40" s="14">
        <v>0.98600652141555722</v>
      </c>
      <c r="N40" s="16">
        <f t="shared" si="9"/>
        <v>-1.6977493215702677</v>
      </c>
      <c r="O40" s="14">
        <v>1.21</v>
      </c>
      <c r="P40" s="17">
        <v>-4.0000000000000036E-2</v>
      </c>
      <c r="Q40" s="14">
        <v>5339</v>
      </c>
      <c r="R40" s="14">
        <f>[1]Feuil1!J74/panel_choc_taux_suisse_2014_202!Q40</f>
        <v>149116.40709246427</v>
      </c>
      <c r="S40" s="14">
        <v>46.1</v>
      </c>
      <c r="T40" s="17">
        <f t="shared" si="2"/>
        <v>1.5634179322386847</v>
      </c>
      <c r="U40" s="17">
        <f t="shared" si="3"/>
        <v>0.54333294090341155</v>
      </c>
      <c r="V40" s="14">
        <v>77371.221550000002</v>
      </c>
      <c r="W40" s="16">
        <f t="shared" si="11"/>
        <v>-0.63681744881511559</v>
      </c>
      <c r="X40" s="14">
        <f t="shared" si="4"/>
        <v>11.256370175838148</v>
      </c>
      <c r="Y40" s="14">
        <v>1.7</v>
      </c>
      <c r="Z40" s="16">
        <f t="shared" si="12"/>
        <v>-0.71793660513082491</v>
      </c>
      <c r="AA40" s="14">
        <f t="shared" si="13"/>
        <v>0.53062825106217038</v>
      </c>
      <c r="AB40" s="14">
        <v>230151</v>
      </c>
      <c r="AC40" s="17">
        <v>4361</v>
      </c>
      <c r="AD40" s="14">
        <f t="shared" si="5"/>
        <v>4.1476569685107148E-3</v>
      </c>
      <c r="AE40" s="14">
        <f t="shared" si="6"/>
        <v>1.0533754365710482</v>
      </c>
      <c r="AF40" s="14">
        <f t="shared" si="14"/>
        <v>-4.2135017462841963E-2</v>
      </c>
      <c r="AG40" s="14">
        <f t="shared" si="15"/>
        <v>-4.3048447752613891E-2</v>
      </c>
      <c r="AH40" s="14">
        <f t="shared" si="16"/>
        <v>-0.4277713360651092</v>
      </c>
      <c r="AI40" s="14">
        <f t="shared" si="29"/>
        <v>9.4278207025739746E-3</v>
      </c>
      <c r="AJ40" s="14">
        <f t="shared" si="30"/>
        <v>-4.5623416280947501E-2</v>
      </c>
      <c r="AK40" s="14">
        <f t="shared" si="31"/>
        <v>-0.7</v>
      </c>
      <c r="AL40" s="14">
        <f t="shared" si="32"/>
        <v>8.9597414298907552E-3</v>
      </c>
    </row>
    <row r="41" spans="1:38" ht="17.25" customHeight="1" x14ac:dyDescent="0.2">
      <c r="A41" s="19" t="s">
        <v>22</v>
      </c>
      <c r="B41" s="19">
        <v>2023</v>
      </c>
      <c r="C41" s="14">
        <v>0</v>
      </c>
      <c r="D41" s="14">
        <v>0</v>
      </c>
      <c r="E41" s="14">
        <v>1</v>
      </c>
      <c r="F41" s="14">
        <v>1424.57</v>
      </c>
      <c r="G41" s="16">
        <f t="shared" si="7"/>
        <v>0.76349039511741723</v>
      </c>
      <c r="H41" s="14">
        <f t="shared" si="0"/>
        <v>7.2616252927797706</v>
      </c>
      <c r="I41" s="17">
        <v>1063533</v>
      </c>
      <c r="J41" s="15">
        <v>-70</v>
      </c>
      <c r="K41" s="14">
        <f t="shared" si="1"/>
        <v>-6.5818362006632609E-3</v>
      </c>
      <c r="L41" s="16">
        <f t="shared" si="8"/>
        <v>2.3149517199253379E-2</v>
      </c>
      <c r="M41" s="14">
        <v>1.0341430614279774</v>
      </c>
      <c r="N41" s="16">
        <f t="shared" si="9"/>
        <v>0.31181115562449047</v>
      </c>
      <c r="O41" s="14">
        <v>1.48</v>
      </c>
      <c r="P41" s="17">
        <v>0.27</v>
      </c>
      <c r="Q41" s="14">
        <v>5321</v>
      </c>
      <c r="R41" s="14">
        <f>[1]Feuil1!J75/panel_choc_taux_suisse_2014_202!Q41</f>
        <v>152807.43123316418</v>
      </c>
      <c r="S41" s="14">
        <v>46.8</v>
      </c>
      <c r="T41" s="17">
        <f t="shared" si="2"/>
        <v>1.6254880398724227</v>
      </c>
      <c r="U41" s="17">
        <f t="shared" si="3"/>
        <v>0.61400660817358033</v>
      </c>
      <c r="V41" s="14">
        <v>90524.329209999996</v>
      </c>
      <c r="W41" s="16">
        <f t="shared" si="11"/>
        <v>0.1094388706063117</v>
      </c>
      <c r="X41" s="14">
        <f t="shared" si="4"/>
        <v>11.41337392460915</v>
      </c>
      <c r="Y41" s="14">
        <v>1.4</v>
      </c>
      <c r="Z41" s="16">
        <f t="shared" si="12"/>
        <v>-0.9763540264515651</v>
      </c>
      <c r="AA41" s="14">
        <f t="shared" si="13"/>
        <v>0.33647223662121289</v>
      </c>
      <c r="AB41" s="14">
        <v>234806</v>
      </c>
      <c r="AC41" s="17">
        <v>3165</v>
      </c>
      <c r="AD41" s="14">
        <f t="shared" si="5"/>
        <v>2.9759302250141743E-3</v>
      </c>
      <c r="AE41" s="14">
        <f t="shared" si="6"/>
        <v>1.1197473240230016</v>
      </c>
      <c r="AF41" s="14">
        <f t="shared" si="14"/>
        <v>0.30233177748621043</v>
      </c>
      <c r="AG41" s="14">
        <f t="shared" si="15"/>
        <v>0.26415633274289479</v>
      </c>
      <c r="AH41" s="14">
        <f t="shared" si="16"/>
        <v>3.1145988434366569</v>
      </c>
      <c r="AI41" s="14">
        <f t="shared" si="29"/>
        <v>0.13580332798373185</v>
      </c>
      <c r="AJ41" s="14">
        <f t="shared" si="30"/>
        <v>2.1570112037795155E-2</v>
      </c>
      <c r="AK41" s="14">
        <f t="shared" si="31"/>
        <v>-0.30000000000000004</v>
      </c>
      <c r="AL41" s="14">
        <f t="shared" si="32"/>
        <v>0.15700374877100209</v>
      </c>
    </row>
    <row r="42" spans="1:38" ht="17.25" customHeight="1" x14ac:dyDescent="0.2">
      <c r="A42" s="19" t="s">
        <v>21</v>
      </c>
      <c r="B42" s="19">
        <v>2014</v>
      </c>
      <c r="C42" s="14">
        <v>0</v>
      </c>
      <c r="D42" s="14">
        <v>1</v>
      </c>
      <c r="E42" s="14">
        <v>0</v>
      </c>
      <c r="F42" s="14">
        <v>1344.17</v>
      </c>
      <c r="G42" s="16">
        <f t="shared" si="7"/>
        <v>0.35593959314047824</v>
      </c>
      <c r="H42" s="14">
        <f t="shared" si="0"/>
        <v>7.2035320011793882</v>
      </c>
      <c r="I42" s="17">
        <v>281301</v>
      </c>
      <c r="J42" s="15">
        <v>835</v>
      </c>
      <c r="K42" s="14">
        <f t="shared" si="1"/>
        <v>0.2968350627975016</v>
      </c>
      <c r="L42" s="16">
        <f t="shared" si="8"/>
        <v>0.96191660245323984</v>
      </c>
      <c r="M42" s="14">
        <v>1.0281149308624065</v>
      </c>
      <c r="N42" s="16">
        <f t="shared" si="9"/>
        <v>6.0154245243822686E-2</v>
      </c>
      <c r="O42" s="14">
        <v>1.95</v>
      </c>
      <c r="P42" s="17">
        <v>0</v>
      </c>
      <c r="Q42" s="14">
        <v>18080</v>
      </c>
      <c r="R42" s="14">
        <f>[1]Feuil1!J76/panel_choc_taux_suisse_2014_202!Q42</f>
        <v>35111.301622418883</v>
      </c>
      <c r="S42" s="14">
        <v>41.6</v>
      </c>
      <c r="T42" s="17">
        <f t="shared" si="2"/>
        <v>-0.35374892920035217</v>
      </c>
      <c r="U42" s="17">
        <f t="shared" si="3"/>
        <v>8.9002222738038012E-2</v>
      </c>
      <c r="V42" s="14">
        <v>91180.266570000007</v>
      </c>
      <c r="W42" s="16">
        <f t="shared" si="11"/>
        <v>0.14665421261504699</v>
      </c>
      <c r="X42" s="14">
        <f t="shared" si="4"/>
        <v>11.420593777320956</v>
      </c>
      <c r="Y42" s="14">
        <v>2.7</v>
      </c>
      <c r="Z42" s="16">
        <f t="shared" si="12"/>
        <v>0.14345479927164217</v>
      </c>
      <c r="AA42" s="14">
        <f t="shared" si="13"/>
        <v>0.99325177301028345</v>
      </c>
      <c r="AB42" s="14">
        <v>57721</v>
      </c>
      <c r="AC42" s="17">
        <v>1196</v>
      </c>
      <c r="AD42" s="14">
        <f t="shared" si="5"/>
        <v>4.2516734743211007E-3</v>
      </c>
      <c r="AE42" s="14">
        <f t="shared" si="6"/>
        <v>-0.13237335323115706</v>
      </c>
      <c r="AF42" s="14">
        <f t="shared" si="14"/>
        <v>0</v>
      </c>
      <c r="AG42" s="14">
        <f t="shared" si="15"/>
        <v>0</v>
      </c>
      <c r="AH42" s="14">
        <f t="shared" si="16"/>
        <v>5.5297297030243815E-3</v>
      </c>
      <c r="AI42" s="14">
        <v>0</v>
      </c>
      <c r="AJ42" s="14">
        <v>0</v>
      </c>
      <c r="AK42" s="14">
        <v>0</v>
      </c>
      <c r="AL42" s="14">
        <v>0</v>
      </c>
    </row>
    <row r="43" spans="1:38" ht="17.25" customHeight="1" x14ac:dyDescent="0.2">
      <c r="A43" s="19" t="s">
        <v>21</v>
      </c>
      <c r="B43" s="19">
        <v>2015</v>
      </c>
      <c r="C43" s="14">
        <v>0</v>
      </c>
      <c r="D43" s="14">
        <v>1</v>
      </c>
      <c r="E43" s="14">
        <v>0</v>
      </c>
      <c r="F43" s="14">
        <v>1299.33</v>
      </c>
      <c r="G43" s="16">
        <f t="shared" si="7"/>
        <v>0.12864384736129866</v>
      </c>
      <c r="H43" s="14">
        <f t="shared" si="0"/>
        <v>7.1696040259779421</v>
      </c>
      <c r="I43" s="17">
        <v>283231</v>
      </c>
      <c r="J43" s="15">
        <v>613</v>
      </c>
      <c r="K43" s="14">
        <f t="shared" si="1"/>
        <v>0.21643111100126752</v>
      </c>
      <c r="L43" s="16">
        <f t="shared" si="8"/>
        <v>0.71314804763682127</v>
      </c>
      <c r="M43" s="14">
        <v>1.0174024043472965</v>
      </c>
      <c r="N43" s="16">
        <f t="shared" si="9"/>
        <v>-0.38706256531446542</v>
      </c>
      <c r="O43" s="14">
        <v>1.84</v>
      </c>
      <c r="P43" s="17">
        <v>-0.10999999999999988</v>
      </c>
      <c r="Q43" s="14">
        <v>18823</v>
      </c>
      <c r="R43" s="14">
        <f>[1]Feuil1!J77/panel_choc_taux_suisse_2014_202!Q43</f>
        <v>34855.346512688375</v>
      </c>
      <c r="S43" s="14">
        <v>42.8</v>
      </c>
      <c r="T43" s="17">
        <f t="shared" si="2"/>
        <v>-0.3580531983150389</v>
      </c>
      <c r="U43" s="17">
        <f t="shared" si="3"/>
        <v>0.21015708091547053</v>
      </c>
      <c r="V43" s="14">
        <v>91544.987630000003</v>
      </c>
      <c r="W43" s="16">
        <f t="shared" si="11"/>
        <v>0.16734707113081762</v>
      </c>
      <c r="X43" s="14">
        <f t="shared" si="4"/>
        <v>11.424585798521894</v>
      </c>
      <c r="Y43" s="14">
        <v>2.7</v>
      </c>
      <c r="Z43" s="16">
        <f t="shared" si="12"/>
        <v>0.14345479927164217</v>
      </c>
      <c r="AA43" s="14">
        <f t="shared" si="13"/>
        <v>0.99325177301028345</v>
      </c>
      <c r="AB43" s="14">
        <v>59013</v>
      </c>
      <c r="AC43" s="17">
        <v>1678</v>
      </c>
      <c r="AD43" s="14">
        <f t="shared" si="5"/>
        <v>5.9244927285501941E-3</v>
      </c>
      <c r="AE43" s="14">
        <f t="shared" si="6"/>
        <v>-7.3948058699784186E-2</v>
      </c>
      <c r="AF43" s="14">
        <f t="shared" si="14"/>
        <v>8.1342864569762512E-3</v>
      </c>
      <c r="AG43" s="14">
        <f t="shared" si="15"/>
        <v>8.1013814675332703E-3</v>
      </c>
      <c r="AH43" s="14">
        <f t="shared" si="16"/>
        <v>8.9179748222166455E-2</v>
      </c>
      <c r="AI43" s="14">
        <f t="shared" ref="AI43:AI51" si="33">LN(F43)-LN(F42)</f>
        <v>-3.3927975201446081E-2</v>
      </c>
      <c r="AJ43" s="14">
        <f t="shared" ref="AJ43:AJ51" si="34">K43-K42</f>
        <v>-8.040395179623408E-2</v>
      </c>
      <c r="AK43" s="14">
        <f t="shared" ref="AK43:AK51" si="35">Y43-Y42</f>
        <v>0</v>
      </c>
      <c r="AL43" s="14">
        <f t="shared" ref="AL43:AL51" si="36">LN(V43)-LN(V42)</f>
        <v>3.9920212009381117E-3</v>
      </c>
    </row>
    <row r="44" spans="1:38" ht="17.25" customHeight="1" x14ac:dyDescent="0.2">
      <c r="A44" s="19" t="s">
        <v>21</v>
      </c>
      <c r="B44" s="19">
        <v>2016</v>
      </c>
      <c r="C44" s="14">
        <v>0</v>
      </c>
      <c r="D44" s="14">
        <v>1</v>
      </c>
      <c r="E44" s="14">
        <v>0</v>
      </c>
      <c r="F44" s="14">
        <v>1309.17</v>
      </c>
      <c r="G44" s="16">
        <f t="shared" si="7"/>
        <v>0.17852319924504426</v>
      </c>
      <c r="H44" s="14">
        <f t="shared" si="0"/>
        <v>7.1771486276073748</v>
      </c>
      <c r="I44" s="17">
        <v>285624</v>
      </c>
      <c r="J44" s="15">
        <v>834</v>
      </c>
      <c r="K44" s="14">
        <f t="shared" si="1"/>
        <v>0.29199226955718011</v>
      </c>
      <c r="L44" s="16">
        <f t="shared" si="8"/>
        <v>0.94693307678372263</v>
      </c>
      <c r="M44" s="14">
        <v>0.98347652295718835</v>
      </c>
      <c r="N44" s="16">
        <f t="shared" si="9"/>
        <v>-1.8033693953850858</v>
      </c>
      <c r="O44" s="14">
        <v>1.71</v>
      </c>
      <c r="P44" s="17">
        <v>-0.13000000000000012</v>
      </c>
      <c r="Q44" s="14">
        <v>18471</v>
      </c>
      <c r="R44" s="14">
        <f>[1]Feuil1!J78/panel_choc_taux_suisse_2014_202!Q44</f>
        <v>36575.339229964084</v>
      </c>
      <c r="S44" s="14">
        <v>43.3</v>
      </c>
      <c r="T44" s="17">
        <f t="shared" si="2"/>
        <v>-0.3291289407049805</v>
      </c>
      <c r="U44" s="17">
        <f t="shared" si="3"/>
        <v>0.26063827182273425</v>
      </c>
      <c r="V44" s="14">
        <v>92185.802549999993</v>
      </c>
      <c r="W44" s="16">
        <f t="shared" si="11"/>
        <v>0.20370442454044743</v>
      </c>
      <c r="X44" s="14">
        <f t="shared" si="4"/>
        <v>11.431561412329804</v>
      </c>
      <c r="Y44" s="14">
        <v>3</v>
      </c>
      <c r="Z44" s="16">
        <f t="shared" si="12"/>
        <v>0.40187222059238209</v>
      </c>
      <c r="AA44" s="14">
        <f t="shared" si="13"/>
        <v>1.0986122886681098</v>
      </c>
      <c r="AB44" s="14">
        <v>60116</v>
      </c>
      <c r="AC44" s="17">
        <v>1586</v>
      </c>
      <c r="AD44" s="14">
        <f t="shared" si="5"/>
        <v>5.5527546704758702E-3</v>
      </c>
      <c r="AE44" s="14">
        <f t="shared" si="6"/>
        <v>-3.4245334441123126E-2</v>
      </c>
      <c r="AF44" s="14">
        <f t="shared" si="14"/>
        <v>4.4518934773460101E-3</v>
      </c>
      <c r="AG44" s="14">
        <f t="shared" si="15"/>
        <v>4.4420131129458895E-3</v>
      </c>
      <c r="AH44" s="14">
        <f t="shared" si="16"/>
        <v>5.1311369407372062E-2</v>
      </c>
      <c r="AI44" s="14">
        <f t="shared" si="33"/>
        <v>7.5446016294327123E-3</v>
      </c>
      <c r="AJ44" s="14">
        <f t="shared" si="34"/>
        <v>7.5561158555912583E-2</v>
      </c>
      <c r="AK44" s="14">
        <f t="shared" si="35"/>
        <v>0.29999999999999982</v>
      </c>
      <c r="AL44" s="14">
        <f t="shared" si="36"/>
        <v>6.9756138079100083E-3</v>
      </c>
    </row>
    <row r="45" spans="1:38" ht="17.25" customHeight="1" x14ac:dyDescent="0.2">
      <c r="A45" s="19" t="s">
        <v>21</v>
      </c>
      <c r="B45" s="19">
        <v>2017</v>
      </c>
      <c r="C45" s="14">
        <v>0</v>
      </c>
      <c r="D45" s="14">
        <v>1</v>
      </c>
      <c r="E45" s="14">
        <v>0</v>
      </c>
      <c r="F45" s="14">
        <v>1332.83</v>
      </c>
      <c r="G45" s="16">
        <f t="shared" si="7"/>
        <v>0.29845668151835691</v>
      </c>
      <c r="H45" s="14">
        <f t="shared" si="0"/>
        <v>7.1950597801628557</v>
      </c>
      <c r="I45" s="17">
        <v>287023</v>
      </c>
      <c r="J45" s="15">
        <v>702</v>
      </c>
      <c r="K45" s="14">
        <f t="shared" si="1"/>
        <v>0.24457970267191131</v>
      </c>
      <c r="L45" s="16">
        <f t="shared" si="8"/>
        <v>0.80023934493735416</v>
      </c>
      <c r="M45" s="14">
        <v>1.0635156673797794</v>
      </c>
      <c r="N45" s="16">
        <f t="shared" si="9"/>
        <v>1.5380319853253162</v>
      </c>
      <c r="O45" s="14">
        <v>1.56</v>
      </c>
      <c r="P45" s="17">
        <v>-0.14999999999999991</v>
      </c>
      <c r="Q45" s="14">
        <v>17903</v>
      </c>
      <c r="R45" s="14">
        <f>[1]Feuil1!J79/panel_choc_taux_suisse_2014_202!Q45</f>
        <v>38673.546850620929</v>
      </c>
      <c r="S45" s="14">
        <v>42.7</v>
      </c>
      <c r="T45" s="17">
        <f t="shared" si="2"/>
        <v>-0.29384443215462364</v>
      </c>
      <c r="U45" s="17">
        <f t="shared" si="3"/>
        <v>0.20006084273401836</v>
      </c>
      <c r="V45" s="14">
        <v>92554.545759999994</v>
      </c>
      <c r="W45" s="16">
        <f t="shared" si="11"/>
        <v>0.22462548424887552</v>
      </c>
      <c r="X45" s="14">
        <f t="shared" si="4"/>
        <v>11.435553433597182</v>
      </c>
      <c r="Y45" s="14">
        <v>2.9</v>
      </c>
      <c r="Z45" s="16">
        <f t="shared" si="12"/>
        <v>0.3157330801521353</v>
      </c>
      <c r="AA45" s="14">
        <f t="shared" si="13"/>
        <v>1.0647107369924282</v>
      </c>
      <c r="AB45" s="14">
        <v>62227</v>
      </c>
      <c r="AC45" s="17">
        <v>1479</v>
      </c>
      <c r="AD45" s="14">
        <f t="shared" si="5"/>
        <v>5.1528971545834303E-3</v>
      </c>
      <c r="AE45" s="14">
        <f t="shared" si="6"/>
        <v>-4.6891794710302637E-2</v>
      </c>
      <c r="AF45" s="14">
        <f t="shared" si="14"/>
        <v>7.0337692065453915E-3</v>
      </c>
      <c r="AG45" s="14">
        <f t="shared" si="15"/>
        <v>7.0091476394460277E-3</v>
      </c>
      <c r="AH45" s="14">
        <f t="shared" si="16"/>
        <v>7.786243245438644E-2</v>
      </c>
      <c r="AI45" s="14">
        <f t="shared" si="33"/>
        <v>1.7911152555480925E-2</v>
      </c>
      <c r="AJ45" s="14">
        <f t="shared" si="34"/>
        <v>-4.7412566885268792E-2</v>
      </c>
      <c r="AK45" s="14">
        <f t="shared" si="35"/>
        <v>-0.10000000000000009</v>
      </c>
      <c r="AL45" s="14">
        <f t="shared" si="36"/>
        <v>3.9920212673774103E-3</v>
      </c>
    </row>
    <row r="46" spans="1:38" ht="17.25" customHeight="1" x14ac:dyDescent="0.2">
      <c r="A46" s="19" t="s">
        <v>21</v>
      </c>
      <c r="B46" s="19">
        <v>2018</v>
      </c>
      <c r="C46" s="14">
        <v>0</v>
      </c>
      <c r="D46" s="14">
        <v>1</v>
      </c>
      <c r="E46" s="14">
        <v>0</v>
      </c>
      <c r="F46" s="14">
        <v>1372.67</v>
      </c>
      <c r="G46" s="16">
        <f t="shared" si="7"/>
        <v>0.50040722816961736</v>
      </c>
      <c r="H46" s="14">
        <f t="shared" si="0"/>
        <v>7.2245130272799596</v>
      </c>
      <c r="I46" s="17">
        <v>288132</v>
      </c>
      <c r="J46" s="15">
        <v>314</v>
      </c>
      <c r="K46" s="14">
        <f t="shared" si="1"/>
        <v>0.10897782960587508</v>
      </c>
      <c r="L46" s="16">
        <f t="shared" si="8"/>
        <v>0.380689294978028</v>
      </c>
      <c r="M46" s="14">
        <v>1.0301138707197743</v>
      </c>
      <c r="N46" s="16">
        <f t="shared" si="9"/>
        <v>0.14360416774800241</v>
      </c>
      <c r="O46" s="14">
        <v>1.5</v>
      </c>
      <c r="P46" s="17">
        <v>-6.0000000000000053E-2</v>
      </c>
      <c r="Q46" s="14">
        <v>17932</v>
      </c>
      <c r="R46" s="14">
        <f>[1]Feuil1!J80/panel_choc_taux_suisse_2014_202!Q46</f>
        <v>39640.817544984762</v>
      </c>
      <c r="S46" s="14">
        <v>39.9</v>
      </c>
      <c r="T46" s="17">
        <f t="shared" si="2"/>
        <v>-0.27757832447786951</v>
      </c>
      <c r="U46" s="17">
        <f t="shared" si="3"/>
        <v>-8.2633826346658959E-2</v>
      </c>
      <c r="V46" s="14">
        <v>93017.318490000005</v>
      </c>
      <c r="W46" s="16">
        <f t="shared" si="11"/>
        <v>0.25088141426522076</v>
      </c>
      <c r="X46" s="14">
        <f t="shared" si="4"/>
        <v>11.440540975121122</v>
      </c>
      <c r="Y46" s="14">
        <v>2.2000000000000002</v>
      </c>
      <c r="Z46" s="16">
        <f t="shared" si="12"/>
        <v>-0.28724090292959131</v>
      </c>
      <c r="AA46" s="14">
        <f t="shared" si="13"/>
        <v>0.78845736036427028</v>
      </c>
      <c r="AB46" s="14">
        <v>63207</v>
      </c>
      <c r="AC46" s="17">
        <v>1329</v>
      </c>
      <c r="AD46" s="14">
        <f t="shared" si="5"/>
        <v>4.6124692849110827E-3</v>
      </c>
      <c r="AE46" s="14">
        <f t="shared" si="6"/>
        <v>-0.18010607541226423</v>
      </c>
      <c r="AF46" s="14">
        <f t="shared" si="14"/>
        <v>1.0806364524735863E-2</v>
      </c>
      <c r="AG46" s="14">
        <f t="shared" si="15"/>
        <v>1.074839303437413E-2</v>
      </c>
      <c r="AH46" s="14">
        <f t="shared" si="16"/>
        <v>0.1166584190355095</v>
      </c>
      <c r="AI46" s="14">
        <f t="shared" si="33"/>
        <v>2.9453247117103842E-2</v>
      </c>
      <c r="AJ46" s="14">
        <f t="shared" si="34"/>
        <v>-0.13560187306603622</v>
      </c>
      <c r="AK46" s="14">
        <f t="shared" si="35"/>
        <v>-0.69999999999999973</v>
      </c>
      <c r="AL46" s="14">
        <f t="shared" si="36"/>
        <v>4.9875415239402088E-3</v>
      </c>
    </row>
    <row r="47" spans="1:38" ht="17.25" customHeight="1" x14ac:dyDescent="0.2">
      <c r="A47" s="19" t="s">
        <v>21</v>
      </c>
      <c r="B47" s="19">
        <v>2019</v>
      </c>
      <c r="C47" s="14">
        <v>0</v>
      </c>
      <c r="D47" s="14">
        <v>1</v>
      </c>
      <c r="E47" s="14">
        <v>0</v>
      </c>
      <c r="F47" s="14">
        <v>1374.5</v>
      </c>
      <c r="G47" s="16">
        <f t="shared" si="7"/>
        <v>0.50968357105043538</v>
      </c>
      <c r="H47" s="14">
        <f t="shared" si="0"/>
        <v>7.2258453076053</v>
      </c>
      <c r="I47" s="17">
        <v>289468</v>
      </c>
      <c r="J47" s="15">
        <v>467</v>
      </c>
      <c r="K47" s="14">
        <f t="shared" si="1"/>
        <v>0.16133044067047134</v>
      </c>
      <c r="L47" s="16">
        <f t="shared" si="8"/>
        <v>0.54266744536062705</v>
      </c>
      <c r="M47" s="14">
        <v>1.036888899675622</v>
      </c>
      <c r="N47" s="16">
        <f t="shared" si="9"/>
        <v>0.42644191258817377</v>
      </c>
      <c r="O47" s="14">
        <v>1.43</v>
      </c>
      <c r="P47" s="17">
        <v>-7.0000000000000062E-2</v>
      </c>
      <c r="Q47" s="14">
        <v>16844</v>
      </c>
      <c r="R47" s="14">
        <f>[1]Feuil1!J81/panel_choc_taux_suisse_2014_202!Q47</f>
        <v>43348.774236127596</v>
      </c>
      <c r="S47" s="14">
        <v>39.4</v>
      </c>
      <c r="T47" s="17">
        <f t="shared" si="2"/>
        <v>-0.21522347060882066</v>
      </c>
      <c r="U47" s="17">
        <f t="shared" si="3"/>
        <v>-0.13311501725392269</v>
      </c>
      <c r="V47" s="14">
        <v>93854</v>
      </c>
      <c r="W47" s="16">
        <f t="shared" si="11"/>
        <v>0.29835147839914111</v>
      </c>
      <c r="X47" s="14">
        <f t="shared" si="4"/>
        <v>11.449495662310445</v>
      </c>
      <c r="Y47" s="14">
        <v>1.9</v>
      </c>
      <c r="Z47" s="16">
        <f t="shared" si="12"/>
        <v>-0.54565832425033156</v>
      </c>
      <c r="AA47" s="14">
        <f t="shared" si="13"/>
        <v>0.64185388617239469</v>
      </c>
      <c r="AB47" s="14">
        <v>64200</v>
      </c>
      <c r="AC47" s="17">
        <v>1191</v>
      </c>
      <c r="AD47" s="14">
        <f t="shared" si="5"/>
        <v>4.1144444290906078E-3</v>
      </c>
      <c r="AE47" s="14">
        <f t="shared" si="6"/>
        <v>-0.17416924393137168</v>
      </c>
      <c r="AF47" s="14">
        <f t="shared" si="14"/>
        <v>1.2191847075196029E-2</v>
      </c>
      <c r="AG47" s="14">
        <f t="shared" si="15"/>
        <v>1.2118125107424998E-2</v>
      </c>
      <c r="AH47" s="14">
        <f t="shared" si="16"/>
        <v>0.13090621343234254</v>
      </c>
      <c r="AI47" s="14">
        <f t="shared" si="33"/>
        <v>1.3322803253403848E-3</v>
      </c>
      <c r="AJ47" s="14">
        <f t="shared" si="34"/>
        <v>5.2352611064596252E-2</v>
      </c>
      <c r="AK47" s="14">
        <f t="shared" si="35"/>
        <v>-0.30000000000000027</v>
      </c>
      <c r="AL47" s="14">
        <f t="shared" si="36"/>
        <v>8.9546871893233515E-3</v>
      </c>
    </row>
    <row r="48" spans="1:38" ht="17.25" customHeight="1" x14ac:dyDescent="0.2">
      <c r="A48" s="19" t="s">
        <v>21</v>
      </c>
      <c r="B48" s="19">
        <v>2020</v>
      </c>
      <c r="C48" s="14">
        <v>0</v>
      </c>
      <c r="D48" s="14">
        <v>1</v>
      </c>
      <c r="E48" s="14">
        <v>0</v>
      </c>
      <c r="F48" s="14">
        <v>1384.83</v>
      </c>
      <c r="G48" s="16">
        <f t="shared" si="7"/>
        <v>0.56204675244871594</v>
      </c>
      <c r="H48" s="14">
        <f t="shared" si="0"/>
        <v>7.2333326674055058</v>
      </c>
      <c r="I48" s="17">
        <v>290969</v>
      </c>
      <c r="J48" s="15">
        <v>693</v>
      </c>
      <c r="K48" s="14">
        <f t="shared" si="1"/>
        <v>0.2381697019270094</v>
      </c>
      <c r="L48" s="16">
        <f t="shared" si="8"/>
        <v>0.78040690404287427</v>
      </c>
      <c r="M48" s="14">
        <v>1.0413346451454319</v>
      </c>
      <c r="N48" s="16">
        <f t="shared" si="9"/>
        <v>0.61203884966534006</v>
      </c>
      <c r="O48" s="14">
        <v>1.33</v>
      </c>
      <c r="P48" s="17">
        <v>-9.9999999999999867E-2</v>
      </c>
      <c r="Q48" s="14">
        <v>18637</v>
      </c>
      <c r="R48" s="14">
        <f>[1]Feuil1!J82/panel_choc_taux_suisse_2014_202!Q48</f>
        <v>40211.233955303964</v>
      </c>
      <c r="S48" s="14">
        <v>41</v>
      </c>
      <c r="T48" s="17">
        <f t="shared" si="2"/>
        <v>-0.26798591688720841</v>
      </c>
      <c r="U48" s="17">
        <f t="shared" si="3"/>
        <v>2.8424793649321389E-2</v>
      </c>
      <c r="V48" s="14">
        <v>94605.310150000005</v>
      </c>
      <c r="W48" s="16">
        <f t="shared" si="11"/>
        <v>0.34097790264624289</v>
      </c>
      <c r="X48" s="14">
        <f t="shared" si="4"/>
        <v>11.457468886128439</v>
      </c>
      <c r="Y48" s="14">
        <v>2.6</v>
      </c>
      <c r="Z48" s="16">
        <f t="shared" si="12"/>
        <v>5.7315658831395402E-2</v>
      </c>
      <c r="AA48" s="14">
        <f t="shared" si="13"/>
        <v>0.95551144502743635</v>
      </c>
      <c r="AB48" s="14">
        <v>65116</v>
      </c>
      <c r="AC48" s="17">
        <v>1619</v>
      </c>
      <c r="AD48" s="14">
        <f t="shared" si="5"/>
        <v>5.5641666294347506E-3</v>
      </c>
      <c r="AE48" s="14">
        <f t="shared" si="6"/>
        <v>-0.11978056161894352</v>
      </c>
      <c r="AF48" s="14">
        <f t="shared" si="14"/>
        <v>1.1978056161894336E-2</v>
      </c>
      <c r="AG48" s="14">
        <f t="shared" si="15"/>
        <v>1.1906886995688593E-2</v>
      </c>
      <c r="AH48" s="14">
        <f t="shared" si="16"/>
        <v>0.12870766609183507</v>
      </c>
      <c r="AI48" s="14">
        <f t="shared" si="33"/>
        <v>7.4873598002058728E-3</v>
      </c>
      <c r="AJ48" s="14">
        <f t="shared" si="34"/>
        <v>7.6839261256538061E-2</v>
      </c>
      <c r="AK48" s="14">
        <f t="shared" si="35"/>
        <v>0.70000000000000018</v>
      </c>
      <c r="AL48" s="14">
        <f t="shared" si="36"/>
        <v>7.973223817993258E-3</v>
      </c>
    </row>
    <row r="49" spans="1:38" ht="17.25" customHeight="1" x14ac:dyDescent="0.2">
      <c r="A49" s="19" t="s">
        <v>21</v>
      </c>
      <c r="B49" s="19">
        <v>2021</v>
      </c>
      <c r="C49" s="14">
        <v>0</v>
      </c>
      <c r="D49" s="14">
        <v>1</v>
      </c>
      <c r="E49" s="14">
        <v>0</v>
      </c>
      <c r="F49" s="14">
        <v>1417.17</v>
      </c>
      <c r="G49" s="16">
        <f t="shared" si="7"/>
        <v>0.72597950040809767</v>
      </c>
      <c r="H49" s="14">
        <f t="shared" si="0"/>
        <v>7.2564172042659907</v>
      </c>
      <c r="I49" s="17">
        <v>292817</v>
      </c>
      <c r="J49" s="15">
        <v>1411</v>
      </c>
      <c r="K49" s="14">
        <f t="shared" si="1"/>
        <v>0.48187092962498762</v>
      </c>
      <c r="L49" s="16">
        <f t="shared" si="8"/>
        <v>1.5344146470335929</v>
      </c>
      <c r="M49" s="14">
        <v>1.0457435779736526</v>
      </c>
      <c r="N49" s="16">
        <f t="shared" si="9"/>
        <v>0.79609896607405228</v>
      </c>
      <c r="O49" s="14">
        <v>1.25</v>
      </c>
      <c r="P49" s="17">
        <v>-8.0000000000000071E-2</v>
      </c>
      <c r="Q49" s="14">
        <v>18090</v>
      </c>
      <c r="R49" s="14">
        <f>[1]Feuil1!J83/panel_choc_taux_suisse_2014_202!Q49</f>
        <v>42739.070538971799</v>
      </c>
      <c r="S49" s="14">
        <v>40.200000000000003</v>
      </c>
      <c r="T49" s="17">
        <f t="shared" si="2"/>
        <v>-0.22547655286039653</v>
      </c>
      <c r="U49" s="17">
        <f t="shared" si="3"/>
        <v>-5.2345111802300288E-2</v>
      </c>
      <c r="V49" s="14">
        <v>94416.099530000007</v>
      </c>
      <c r="W49" s="16">
        <f t="shared" si="11"/>
        <v>0.33024282584716458</v>
      </c>
      <c r="X49" s="14">
        <f t="shared" si="4"/>
        <v>11.455466883460943</v>
      </c>
      <c r="Y49" s="14">
        <v>2.5</v>
      </c>
      <c r="Z49" s="16">
        <f t="shared" si="12"/>
        <v>-2.882348160885137E-2</v>
      </c>
      <c r="AA49" s="14">
        <f t="shared" si="13"/>
        <v>0.91629073187415511</v>
      </c>
      <c r="AB49" s="14">
        <v>66312</v>
      </c>
      <c r="AC49" s="17">
        <v>1617</v>
      </c>
      <c r="AD49" s="14">
        <f t="shared" si="5"/>
        <v>5.5222203628887663E-3</v>
      </c>
      <c r="AE49" s="14">
        <f t="shared" si="6"/>
        <v>-0.13891083233134841</v>
      </c>
      <c r="AF49" s="14">
        <f t="shared" si="14"/>
        <v>1.1112866586507883E-2</v>
      </c>
      <c r="AG49" s="14">
        <f t="shared" si="15"/>
        <v>1.1051572369536168E-2</v>
      </c>
      <c r="AH49" s="14">
        <f t="shared" si="16"/>
        <v>0.11981037382330725</v>
      </c>
      <c r="AI49" s="14">
        <f t="shared" si="33"/>
        <v>2.3084536860484839E-2</v>
      </c>
      <c r="AJ49" s="14">
        <f t="shared" si="34"/>
        <v>0.24370122769797822</v>
      </c>
      <c r="AK49" s="14">
        <f t="shared" si="35"/>
        <v>-0.10000000000000009</v>
      </c>
      <c r="AL49" s="14">
        <f t="shared" si="36"/>
        <v>-2.0020026674956171E-3</v>
      </c>
    </row>
    <row r="50" spans="1:38" ht="17.25" customHeight="1" x14ac:dyDescent="0.2">
      <c r="A50" s="19" t="s">
        <v>21</v>
      </c>
      <c r="B50" s="19">
        <v>2022</v>
      </c>
      <c r="C50" s="14">
        <v>0</v>
      </c>
      <c r="D50" s="14">
        <v>1</v>
      </c>
      <c r="E50" s="14">
        <v>0</v>
      </c>
      <c r="F50" s="14">
        <v>1440.83</v>
      </c>
      <c r="G50" s="16">
        <f t="shared" si="7"/>
        <v>0.84591298268141024</v>
      </c>
      <c r="H50" s="14">
        <f t="shared" si="0"/>
        <v>7.2729746154106625</v>
      </c>
      <c r="I50" s="17">
        <v>294417</v>
      </c>
      <c r="J50" s="15">
        <v>1068</v>
      </c>
      <c r="K50" s="14">
        <f t="shared" si="1"/>
        <v>0.36275079224365442</v>
      </c>
      <c r="L50" s="16">
        <f t="shared" si="8"/>
        <v>1.1658588265313046</v>
      </c>
      <c r="M50" s="14">
        <v>0.98600652141555722</v>
      </c>
      <c r="N50" s="16">
        <f t="shared" si="9"/>
        <v>-1.6977493215702677</v>
      </c>
      <c r="O50" s="14">
        <v>1.21</v>
      </c>
      <c r="P50" s="17">
        <v>-4.0000000000000036E-2</v>
      </c>
      <c r="Q50" s="14">
        <v>17225</v>
      </c>
      <c r="R50" s="14">
        <f>[1]Feuil1!J84/panel_choc_taux_suisse_2014_202!Q50</f>
        <v>46219.593466860184</v>
      </c>
      <c r="S50" s="14">
        <v>38.5</v>
      </c>
      <c r="T50" s="17">
        <f t="shared" si="2"/>
        <v>-0.16694633888169333</v>
      </c>
      <c r="U50" s="17">
        <f t="shared" si="3"/>
        <v>-0.22398116088699727</v>
      </c>
      <c r="V50" s="14">
        <v>95265.844419999994</v>
      </c>
      <c r="W50" s="16">
        <f t="shared" si="11"/>
        <v>0.37845405550105132</v>
      </c>
      <c r="X50" s="14">
        <f t="shared" si="4"/>
        <v>11.464426624771848</v>
      </c>
      <c r="Y50" s="14">
        <v>1.9</v>
      </c>
      <c r="Z50" s="16">
        <f t="shared" si="12"/>
        <v>-0.54565832425033156</v>
      </c>
      <c r="AA50" s="14">
        <f t="shared" si="13"/>
        <v>0.64185388617239469</v>
      </c>
      <c r="AB50" s="14">
        <v>67286</v>
      </c>
      <c r="AC50" s="17">
        <v>1643</v>
      </c>
      <c r="AD50" s="14">
        <f t="shared" si="5"/>
        <v>5.5805201465947956E-3</v>
      </c>
      <c r="AE50" s="14">
        <f t="shared" si="6"/>
        <v>-0.19546374988434528</v>
      </c>
      <c r="AF50" s="14">
        <f t="shared" si="14"/>
        <v>7.8185499953738191E-3</v>
      </c>
      <c r="AG50" s="14">
        <f t="shared" si="15"/>
        <v>7.7881435202212862E-3</v>
      </c>
      <c r="AH50" s="14">
        <f t="shared" si="16"/>
        <v>8.5932830253404674E-2</v>
      </c>
      <c r="AI50" s="14">
        <f t="shared" si="33"/>
        <v>1.6557411144671796E-2</v>
      </c>
      <c r="AJ50" s="14">
        <f t="shared" si="34"/>
        <v>-0.1191201373813332</v>
      </c>
      <c r="AK50" s="14">
        <f t="shared" si="35"/>
        <v>-0.60000000000000009</v>
      </c>
      <c r="AL50" s="14">
        <f t="shared" si="36"/>
        <v>8.959741310905045E-3</v>
      </c>
    </row>
    <row r="51" spans="1:38" ht="17.25" customHeight="1" x14ac:dyDescent="0.2">
      <c r="A51" s="19" t="s">
        <v>21</v>
      </c>
      <c r="B51" s="19">
        <v>2023</v>
      </c>
      <c r="C51" s="14">
        <v>0</v>
      </c>
      <c r="D51" s="14">
        <v>1</v>
      </c>
      <c r="E51" s="14">
        <v>0</v>
      </c>
      <c r="F51" s="14">
        <v>1654.57</v>
      </c>
      <c r="G51" s="16">
        <f t="shared" si="7"/>
        <v>1.9293695550016976</v>
      </c>
      <c r="H51" s="14">
        <f t="shared" si="0"/>
        <v>7.4112964353213115</v>
      </c>
      <c r="I51" s="17">
        <v>298837</v>
      </c>
      <c r="J51" s="15">
        <v>842</v>
      </c>
      <c r="K51" s="14">
        <f t="shared" si="1"/>
        <v>0.28175895220471359</v>
      </c>
      <c r="L51" s="16">
        <f t="shared" si="8"/>
        <v>0.91527135479271338</v>
      </c>
      <c r="M51" s="14">
        <v>1.0341430614279774</v>
      </c>
      <c r="N51" s="16">
        <f t="shared" si="9"/>
        <v>0.31181115562449047</v>
      </c>
      <c r="O51" s="14">
        <v>1.48</v>
      </c>
      <c r="P51" s="17">
        <v>0.27</v>
      </c>
      <c r="Q51" s="14">
        <v>17797</v>
      </c>
      <c r="R51" s="14">
        <f>[1]Feuil1!J85/panel_choc_taux_suisse_2014_202!Q51</f>
        <v>45686.820340038583</v>
      </c>
      <c r="S51" s="14">
        <v>39.299999999999997</v>
      </c>
      <c r="T51" s="17">
        <f t="shared" si="2"/>
        <v>-0.17590571819366638</v>
      </c>
      <c r="U51" s="17">
        <f t="shared" si="3"/>
        <v>-0.14321125543537558</v>
      </c>
      <c r="V51" s="14">
        <v>111461.038</v>
      </c>
      <c r="W51" s="16">
        <f t="shared" si="11"/>
        <v>1.2973065324774573</v>
      </c>
      <c r="X51" s="14">
        <f t="shared" si="4"/>
        <v>11.621430373838104</v>
      </c>
      <c r="Y51" s="14">
        <v>1.8</v>
      </c>
      <c r="Z51" s="16">
        <f t="shared" si="12"/>
        <v>-0.63179746469057818</v>
      </c>
      <c r="AA51" s="14">
        <f t="shared" si="13"/>
        <v>0.58778666490211906</v>
      </c>
      <c r="AB51" s="14">
        <v>68536</v>
      </c>
      <c r="AC51" s="17">
        <v>1480</v>
      </c>
      <c r="AD51" s="14">
        <f t="shared" si="5"/>
        <v>4.9525326515792887E-3</v>
      </c>
      <c r="AE51" s="14">
        <f t="shared" si="6"/>
        <v>-0.15955848681452098</v>
      </c>
      <c r="AF51" s="14">
        <f t="shared" si="14"/>
        <v>-4.308079143992067E-2</v>
      </c>
      <c r="AG51" s="14">
        <f t="shared" si="15"/>
        <v>-4.4036312660199146E-2</v>
      </c>
      <c r="AH51" s="14">
        <f t="shared" si="16"/>
        <v>-0.43749732876477682</v>
      </c>
      <c r="AI51" s="14">
        <f t="shared" si="33"/>
        <v>0.13832181991064907</v>
      </c>
      <c r="AJ51" s="14">
        <f t="shared" si="34"/>
        <v>-8.0991840038940832E-2</v>
      </c>
      <c r="AK51" s="14">
        <f t="shared" si="35"/>
        <v>-9.9999999999999867E-2</v>
      </c>
      <c r="AL51" s="14">
        <f t="shared" si="36"/>
        <v>0.15700374906625569</v>
      </c>
    </row>
    <row r="52" spans="1:38" ht="17.25" customHeight="1" x14ac:dyDescent="0.2">
      <c r="A52" s="19" t="s">
        <v>20</v>
      </c>
      <c r="B52" s="19">
        <v>2014</v>
      </c>
      <c r="C52" s="14">
        <v>0</v>
      </c>
      <c r="D52" s="14">
        <v>0</v>
      </c>
      <c r="E52" s="14">
        <v>1</v>
      </c>
      <c r="F52" s="14">
        <v>1361.17</v>
      </c>
      <c r="G52" s="16">
        <f t="shared" si="7"/>
        <v>0.44211327017540331</v>
      </c>
      <c r="H52" s="14">
        <f t="shared" si="0"/>
        <v>7.2160999030068602</v>
      </c>
      <c r="I52" s="17">
        <v>190580</v>
      </c>
      <c r="J52" s="15">
        <v>-1552</v>
      </c>
      <c r="K52" s="14">
        <f t="shared" si="1"/>
        <v>-0.81435617588414311</v>
      </c>
      <c r="L52" s="16">
        <f t="shared" si="8"/>
        <v>-2.4760915102829051</v>
      </c>
      <c r="M52" s="14">
        <v>1.0281149308624065</v>
      </c>
      <c r="N52" s="16">
        <f t="shared" si="9"/>
        <v>6.0154245243822686E-2</v>
      </c>
      <c r="O52" s="14">
        <v>1.95</v>
      </c>
      <c r="P52" s="17">
        <v>0</v>
      </c>
      <c r="Q52" s="14">
        <v>4463</v>
      </c>
      <c r="R52" s="14">
        <f>[1]Feuil1!J86/panel_choc_taux_suisse_2014_202!Q52</f>
        <v>142238.92747778026</v>
      </c>
      <c r="S52" s="14">
        <v>41.7</v>
      </c>
      <c r="T52" s="17">
        <f t="shared" si="2"/>
        <v>1.4477627959785011</v>
      </c>
      <c r="U52" s="17">
        <f t="shared" si="3"/>
        <v>9.9098460919490899E-2</v>
      </c>
      <c r="V52" s="14">
        <v>94405.057490000007</v>
      </c>
      <c r="W52" s="16">
        <f t="shared" si="11"/>
        <v>0.3296163433198176</v>
      </c>
      <c r="X52" s="14">
        <f t="shared" si="4"/>
        <v>11.45534992580443</v>
      </c>
      <c r="Y52" s="14">
        <v>3.4</v>
      </c>
      <c r="Z52" s="16">
        <f t="shared" si="12"/>
        <v>0.74642878235336874</v>
      </c>
      <c r="AA52" s="14">
        <f t="shared" si="13"/>
        <v>1.2237754316221157</v>
      </c>
      <c r="AB52" s="14">
        <v>38809</v>
      </c>
      <c r="AC52" s="17">
        <v>377</v>
      </c>
      <c r="AD52" s="14">
        <f t="shared" si="5"/>
        <v>1.9781718963165075E-3</v>
      </c>
      <c r="AE52" s="14">
        <f t="shared" si="6"/>
        <v>0.77343062844899602</v>
      </c>
      <c r="AF52" s="14">
        <f t="shared" si="14"/>
        <v>0</v>
      </c>
      <c r="AG52" s="14">
        <f t="shared" si="15"/>
        <v>0</v>
      </c>
      <c r="AH52" s="14">
        <f t="shared" si="16"/>
        <v>5.5297297030243815E-3</v>
      </c>
      <c r="AI52" s="14">
        <v>0</v>
      </c>
      <c r="AJ52" s="14">
        <v>0</v>
      </c>
      <c r="AK52" s="14">
        <v>0</v>
      </c>
      <c r="AL52" s="14">
        <v>0</v>
      </c>
    </row>
    <row r="53" spans="1:38" ht="17.25" customHeight="1" x14ac:dyDescent="0.2">
      <c r="A53" s="19" t="s">
        <v>20</v>
      </c>
      <c r="B53" s="19">
        <v>2015</v>
      </c>
      <c r="C53" s="14">
        <v>0</v>
      </c>
      <c r="D53" s="14">
        <v>0</v>
      </c>
      <c r="E53" s="14">
        <v>1</v>
      </c>
      <c r="F53" s="14">
        <v>1321.5</v>
      </c>
      <c r="G53" s="16">
        <f t="shared" si="7"/>
        <v>0.24102446029449248</v>
      </c>
      <c r="H53" s="14">
        <f t="shared" si="0"/>
        <v>7.1865227340443436</v>
      </c>
      <c r="I53" s="17">
        <v>191817</v>
      </c>
      <c r="J53" s="15">
        <v>-1485</v>
      </c>
      <c r="K53" s="14">
        <f t="shared" si="1"/>
        <v>-0.77417538591469992</v>
      </c>
      <c r="L53" s="16">
        <f t="shared" si="8"/>
        <v>-2.351772781802838</v>
      </c>
      <c r="M53" s="14">
        <v>1.0174024043472965</v>
      </c>
      <c r="N53" s="16">
        <f t="shared" si="9"/>
        <v>-0.38706256531446542</v>
      </c>
      <c r="O53" s="14">
        <v>1.84</v>
      </c>
      <c r="P53" s="17">
        <v>-0.10999999999999988</v>
      </c>
      <c r="Q53" s="14">
        <v>5044</v>
      </c>
      <c r="R53" s="14">
        <f>[1]Feuil1!J87/panel_choc_taux_suisse_2014_202!Q53</f>
        <v>130071.80559245308</v>
      </c>
      <c r="S53" s="14">
        <v>48.4</v>
      </c>
      <c r="T53" s="17">
        <f t="shared" si="2"/>
        <v>1.243154390228042</v>
      </c>
      <c r="U53" s="17">
        <f t="shared" si="3"/>
        <v>0.77554641907682442</v>
      </c>
      <c r="V53" s="14">
        <v>94782.677720000007</v>
      </c>
      <c r="W53" s="16">
        <f t="shared" si="11"/>
        <v>0.35104105071697983</v>
      </c>
      <c r="X53" s="14">
        <f t="shared" si="4"/>
        <v>11.459341947074389</v>
      </c>
      <c r="Y53" s="14">
        <v>3.7</v>
      </c>
      <c r="Z53" s="16">
        <f t="shared" si="12"/>
        <v>1.004846203674109</v>
      </c>
      <c r="AA53" s="14">
        <f t="shared" si="13"/>
        <v>1.3083328196501789</v>
      </c>
      <c r="AB53" s="14">
        <v>38866</v>
      </c>
      <c r="AC53" s="17">
        <v>780</v>
      </c>
      <c r="AD53" s="14">
        <f t="shared" si="5"/>
        <v>4.0663757644004445E-3</v>
      </c>
      <c r="AE53" s="14">
        <f t="shared" si="6"/>
        <v>1.0093504046524333</v>
      </c>
      <c r="AF53" s="14">
        <f t="shared" si="14"/>
        <v>-0.11102854451176754</v>
      </c>
      <c r="AG53" s="14">
        <f t="shared" si="15"/>
        <v>-0.11769015254589164</v>
      </c>
      <c r="AH53" s="14">
        <f t="shared" si="16"/>
        <v>-1.1362471002237631</v>
      </c>
      <c r="AI53" s="14">
        <f t="shared" ref="AI53:AI61" si="37">LN(F53)-LN(F52)</f>
        <v>-2.9577168962516609E-2</v>
      </c>
      <c r="AJ53" s="14">
        <f t="shared" ref="AJ53:AJ61" si="38">K53-K52</f>
        <v>4.0180789969443187E-2</v>
      </c>
      <c r="AK53" s="14">
        <f t="shared" ref="AK53:AK61" si="39">Y53-Y52</f>
        <v>0.30000000000000027</v>
      </c>
      <c r="AL53" s="14">
        <f t="shared" ref="AL53:AL61" si="40">LN(V53)-LN(V52)</f>
        <v>3.9920212699584567E-3</v>
      </c>
    </row>
    <row r="54" spans="1:38" ht="17.25" customHeight="1" x14ac:dyDescent="0.2">
      <c r="A54" s="19" t="s">
        <v>20</v>
      </c>
      <c r="B54" s="19">
        <v>2016</v>
      </c>
      <c r="C54" s="14">
        <v>0</v>
      </c>
      <c r="D54" s="14">
        <v>0</v>
      </c>
      <c r="E54" s="14">
        <v>1</v>
      </c>
      <c r="F54" s="14">
        <v>1326.33</v>
      </c>
      <c r="G54" s="16">
        <f t="shared" si="7"/>
        <v>0.26550792265206202</v>
      </c>
      <c r="H54" s="14">
        <f t="shared" si="0"/>
        <v>7.190171008561391</v>
      </c>
      <c r="I54" s="17">
        <v>193070</v>
      </c>
      <c r="J54" s="15">
        <v>-1718</v>
      </c>
      <c r="K54" s="14">
        <f t="shared" si="1"/>
        <v>-0.88983270316465524</v>
      </c>
      <c r="L54" s="16">
        <f t="shared" si="8"/>
        <v>-2.7096146916026376</v>
      </c>
      <c r="M54" s="14">
        <v>0.98347652295718835</v>
      </c>
      <c r="N54" s="16">
        <f t="shared" si="9"/>
        <v>-1.8033693953850858</v>
      </c>
      <c r="O54" s="14">
        <v>1.71</v>
      </c>
      <c r="P54" s="17">
        <v>-0.13000000000000012</v>
      </c>
      <c r="Q54" s="14">
        <v>4509</v>
      </c>
      <c r="R54" s="14">
        <f>[1]Feuil1!J88/panel_choc_taux_suisse_2014_202!Q54</f>
        <v>149829.91592740445</v>
      </c>
      <c r="S54" s="14">
        <v>47.5</v>
      </c>
      <c r="T54" s="17">
        <f t="shared" si="2"/>
        <v>1.5754166535946392</v>
      </c>
      <c r="U54" s="17">
        <f t="shared" si="3"/>
        <v>0.68468027544374988</v>
      </c>
      <c r="V54" s="14">
        <v>95446.156459999998</v>
      </c>
      <c r="W54" s="16">
        <f t="shared" si="11"/>
        <v>0.38868426138060785</v>
      </c>
      <c r="X54" s="14">
        <f t="shared" si="4"/>
        <v>11.466317560768486</v>
      </c>
      <c r="Y54" s="14">
        <v>3.9</v>
      </c>
      <c r="Z54" s="16">
        <f t="shared" si="12"/>
        <v>1.1771244845546023</v>
      </c>
      <c r="AA54" s="14">
        <f t="shared" si="13"/>
        <v>1.3609765531356006</v>
      </c>
      <c r="AB54" s="14">
        <v>38834</v>
      </c>
      <c r="AC54" s="17">
        <v>412</v>
      </c>
      <c r="AD54" s="14">
        <f t="shared" si="5"/>
        <v>2.1339410576474852E-3</v>
      </c>
      <c r="AE54" s="14">
        <f t="shared" si="6"/>
        <v>1.1300484645191946</v>
      </c>
      <c r="AF54" s="14">
        <f t="shared" si="14"/>
        <v>-0.14690630038749544</v>
      </c>
      <c r="AG54" s="14">
        <f t="shared" si="15"/>
        <v>-0.15888589038076967</v>
      </c>
      <c r="AH54" s="14">
        <f t="shared" si="16"/>
        <v>-1.5052007827998157</v>
      </c>
      <c r="AI54" s="14">
        <f t="shared" si="37"/>
        <v>3.6482745170474118E-3</v>
      </c>
      <c r="AJ54" s="14">
        <f t="shared" si="38"/>
        <v>-0.11565731724995532</v>
      </c>
      <c r="AK54" s="14">
        <f t="shared" si="39"/>
        <v>0.19999999999999973</v>
      </c>
      <c r="AL54" s="14">
        <f t="shared" si="40"/>
        <v>6.9756136940970492E-3</v>
      </c>
    </row>
    <row r="55" spans="1:38" ht="17.25" customHeight="1" x14ac:dyDescent="0.2">
      <c r="A55" s="19" t="s">
        <v>20</v>
      </c>
      <c r="B55" s="19">
        <v>2017</v>
      </c>
      <c r="C55" s="14">
        <v>0</v>
      </c>
      <c r="D55" s="14">
        <v>0</v>
      </c>
      <c r="E55" s="14">
        <v>1</v>
      </c>
      <c r="F55" s="14">
        <v>1330.83</v>
      </c>
      <c r="G55" s="16">
        <f t="shared" si="7"/>
        <v>0.28831860186718922</v>
      </c>
      <c r="H55" s="14">
        <f t="shared" si="0"/>
        <v>7.1935580867216151</v>
      </c>
      <c r="I55" s="17">
        <v>193908</v>
      </c>
      <c r="J55" s="15">
        <v>-1308</v>
      </c>
      <c r="K55" s="14">
        <f t="shared" si="1"/>
        <v>-0.67454669224580732</v>
      </c>
      <c r="L55" s="16">
        <f t="shared" si="8"/>
        <v>-2.0435231797799323</v>
      </c>
      <c r="M55" s="14">
        <v>1.0635156673797794</v>
      </c>
      <c r="N55" s="16">
        <f t="shared" si="9"/>
        <v>1.5380319853253162</v>
      </c>
      <c r="O55" s="14">
        <v>1.56</v>
      </c>
      <c r="P55" s="17">
        <v>-0.14999999999999991</v>
      </c>
      <c r="Q55" s="14">
        <v>5230</v>
      </c>
      <c r="R55" s="14">
        <f>[1]Feuil1!J89/panel_choc_taux_suisse_2014_202!Q55</f>
        <v>132384.8010070108</v>
      </c>
      <c r="S55" s="14">
        <v>49.1</v>
      </c>
      <c r="T55" s="17">
        <f t="shared" si="2"/>
        <v>1.2820508777245221</v>
      </c>
      <c r="U55" s="17">
        <f t="shared" si="3"/>
        <v>0.84622008634699397</v>
      </c>
      <c r="V55" s="14">
        <v>95827.941089999993</v>
      </c>
      <c r="W55" s="16">
        <f t="shared" si="11"/>
        <v>0.41034524068376577</v>
      </c>
      <c r="X55" s="14">
        <f t="shared" si="4"/>
        <v>11.470309582081436</v>
      </c>
      <c r="Y55" s="14">
        <v>3.6</v>
      </c>
      <c r="Z55" s="16">
        <f t="shared" si="12"/>
        <v>0.91870706323386231</v>
      </c>
      <c r="AA55" s="14">
        <f t="shared" si="13"/>
        <v>1.2809338454620642</v>
      </c>
      <c r="AB55" s="14">
        <v>38739</v>
      </c>
      <c r="AC55" s="17">
        <v>372</v>
      </c>
      <c r="AD55" s="14">
        <f t="shared" si="5"/>
        <v>1.9184355467541309E-3</v>
      </c>
      <c r="AE55" s="14">
        <f t="shared" si="6"/>
        <v>1.064135482035758</v>
      </c>
      <c r="AF55" s="14">
        <f t="shared" si="14"/>
        <v>-0.1596203223053636</v>
      </c>
      <c r="AG55" s="14">
        <f t="shared" si="15"/>
        <v>-0.17390149200924693</v>
      </c>
      <c r="AH55" s="14">
        <f t="shared" si="16"/>
        <v>-1.6359471210936105</v>
      </c>
      <c r="AI55" s="14">
        <f t="shared" si="37"/>
        <v>3.3870781602240996E-3</v>
      </c>
      <c r="AJ55" s="14">
        <f t="shared" si="38"/>
        <v>0.21528601091884791</v>
      </c>
      <c r="AK55" s="14">
        <f t="shared" si="39"/>
        <v>-0.29999999999999982</v>
      </c>
      <c r="AL55" s="14">
        <f t="shared" si="40"/>
        <v>3.992021312949845E-3</v>
      </c>
    </row>
    <row r="56" spans="1:38" ht="17.25" customHeight="1" x14ac:dyDescent="0.2">
      <c r="A56" s="19" t="s">
        <v>20</v>
      </c>
      <c r="B56" s="19">
        <v>2018</v>
      </c>
      <c r="C56" s="14">
        <v>0</v>
      </c>
      <c r="D56" s="14">
        <v>0</v>
      </c>
      <c r="E56" s="14">
        <v>1</v>
      </c>
      <c r="F56" s="14">
        <v>1410.33</v>
      </c>
      <c r="G56" s="16">
        <f t="shared" si="7"/>
        <v>0.69130726800110354</v>
      </c>
      <c r="H56" s="14">
        <f t="shared" si="0"/>
        <v>7.2515789985417198</v>
      </c>
      <c r="I56" s="17">
        <v>194766</v>
      </c>
      <c r="J56" s="15">
        <v>-1525</v>
      </c>
      <c r="K56" s="14">
        <f t="shared" si="1"/>
        <v>-0.78299087109659804</v>
      </c>
      <c r="L56" s="16">
        <f t="shared" si="8"/>
        <v>-2.3790477534891061</v>
      </c>
      <c r="M56" s="14">
        <v>1.0301138707197743</v>
      </c>
      <c r="N56" s="16">
        <f t="shared" si="9"/>
        <v>0.14360416774800241</v>
      </c>
      <c r="O56" s="14">
        <v>1.5</v>
      </c>
      <c r="P56" s="17">
        <v>-6.0000000000000053E-2</v>
      </c>
      <c r="Q56" s="14">
        <v>4783</v>
      </c>
      <c r="R56" s="14">
        <f>[1]Feuil1!J90/panel_choc_taux_suisse_2014_202!Q56</f>
        <v>148617.84240365183</v>
      </c>
      <c r="S56" s="14">
        <v>45.1</v>
      </c>
      <c r="T56" s="17">
        <f t="shared" si="2"/>
        <v>1.5550338191260835</v>
      </c>
      <c r="U56" s="17">
        <f t="shared" si="3"/>
        <v>0.44237055908888412</v>
      </c>
      <c r="V56" s="14">
        <v>96307.080799999996</v>
      </c>
      <c r="W56" s="16">
        <f t="shared" si="11"/>
        <v>0.43752976967235102</v>
      </c>
      <c r="X56" s="14">
        <f t="shared" si="4"/>
        <v>11.475297123639718</v>
      </c>
      <c r="Y56" s="14">
        <v>3.3</v>
      </c>
      <c r="Z56" s="16">
        <f t="shared" si="12"/>
        <v>0.66028964191312201</v>
      </c>
      <c r="AA56" s="14">
        <f t="shared" si="13"/>
        <v>1.1939224684724346</v>
      </c>
      <c r="AB56" s="14">
        <v>38715</v>
      </c>
      <c r="AC56" s="17">
        <v>795</v>
      </c>
      <c r="AD56" s="14">
        <f t="shared" si="5"/>
        <v>4.0818212624380021E-3</v>
      </c>
      <c r="AE56" s="14">
        <f t="shared" si="6"/>
        <v>0.99870218910748387</v>
      </c>
      <c r="AF56" s="14">
        <f t="shared" si="14"/>
        <v>-5.9922131346449088E-2</v>
      </c>
      <c r="AG56" s="14">
        <f t="shared" si="15"/>
        <v>-6.1792568155908112E-2</v>
      </c>
      <c r="AH56" s="14">
        <f t="shared" si="16"/>
        <v>-0.61068749148151402</v>
      </c>
      <c r="AI56" s="14">
        <f t="shared" si="37"/>
        <v>5.8020911820104715E-2</v>
      </c>
      <c r="AJ56" s="14">
        <f t="shared" si="38"/>
        <v>-0.10844417885079072</v>
      </c>
      <c r="AK56" s="14">
        <f t="shared" si="39"/>
        <v>-0.30000000000000027</v>
      </c>
      <c r="AL56" s="14">
        <f t="shared" si="40"/>
        <v>4.9875415582825156E-3</v>
      </c>
    </row>
    <row r="57" spans="1:38" ht="17.25" customHeight="1" x14ac:dyDescent="0.2">
      <c r="A57" s="19" t="s">
        <v>20</v>
      </c>
      <c r="B57" s="19">
        <v>2019</v>
      </c>
      <c r="C57" s="14">
        <v>0</v>
      </c>
      <c r="D57" s="14">
        <v>0</v>
      </c>
      <c r="E57" s="14">
        <v>1</v>
      </c>
      <c r="F57" s="14">
        <v>1401.83</v>
      </c>
      <c r="G57" s="16">
        <f t="shared" si="7"/>
        <v>0.648220429483641</v>
      </c>
      <c r="H57" s="14">
        <f t="shared" si="0"/>
        <v>7.24553380489301</v>
      </c>
      <c r="I57" s="17">
        <v>195844</v>
      </c>
      <c r="J57" s="15">
        <v>-1265</v>
      </c>
      <c r="K57" s="14">
        <f t="shared" si="1"/>
        <v>-0.64592226465962699</v>
      </c>
      <c r="L57" s="16">
        <f t="shared" si="8"/>
        <v>-1.9549596536847529</v>
      </c>
      <c r="M57" s="14">
        <v>1.036888899675622</v>
      </c>
      <c r="N57" s="16">
        <f t="shared" si="9"/>
        <v>0.42644191258817377</v>
      </c>
      <c r="O57" s="14">
        <v>1.43</v>
      </c>
      <c r="P57" s="17">
        <v>-7.0000000000000062E-2</v>
      </c>
      <c r="Q57" s="14">
        <v>5028</v>
      </c>
      <c r="R57" s="14">
        <f>[1]Feuil1!J91/panel_choc_taux_suisse_2014_202!Q57</f>
        <v>145220.11798594534</v>
      </c>
      <c r="S57" s="14">
        <v>47.3</v>
      </c>
      <c r="T57" s="17">
        <f t="shared" si="2"/>
        <v>1.497895986297705</v>
      </c>
      <c r="U57" s="17">
        <f t="shared" si="3"/>
        <v>0.6644877990808441</v>
      </c>
      <c r="V57" s="14">
        <v>97174</v>
      </c>
      <c r="W57" s="16">
        <f t="shared" si="11"/>
        <v>0.48671540307176403</v>
      </c>
      <c r="X57" s="14">
        <f t="shared" si="4"/>
        <v>11.484258464954843</v>
      </c>
      <c r="Y57" s="14">
        <v>3</v>
      </c>
      <c r="Z57" s="16">
        <f t="shared" si="12"/>
        <v>0.40187222059238209</v>
      </c>
      <c r="AA57" s="14">
        <f t="shared" si="13"/>
        <v>1.0986122886681098</v>
      </c>
      <c r="AB57" s="14">
        <v>38760</v>
      </c>
      <c r="AC57" s="17">
        <v>875</v>
      </c>
      <c r="AD57" s="14">
        <f t="shared" si="5"/>
        <v>4.4678417515982109E-3</v>
      </c>
      <c r="AE57" s="14">
        <f t="shared" si="6"/>
        <v>1.0811918926892745</v>
      </c>
      <c r="AF57" s="14">
        <f t="shared" si="14"/>
        <v>-7.5683432488249283E-2</v>
      </c>
      <c r="AG57" s="14">
        <f t="shared" si="15"/>
        <v>-7.8700660484129076E-2</v>
      </c>
      <c r="AH57" s="14">
        <f t="shared" si="16"/>
        <v>-0.77277093166656263</v>
      </c>
      <c r="AI57" s="14">
        <f t="shared" si="37"/>
        <v>-6.0451936487098124E-3</v>
      </c>
      <c r="AJ57" s="14">
        <f t="shared" si="38"/>
        <v>0.13706860643697105</v>
      </c>
      <c r="AK57" s="14">
        <f t="shared" si="39"/>
        <v>-0.29999999999999982</v>
      </c>
      <c r="AL57" s="14">
        <f t="shared" si="40"/>
        <v>8.9613413151248267E-3</v>
      </c>
    </row>
    <row r="58" spans="1:38" ht="17.25" customHeight="1" x14ac:dyDescent="0.2">
      <c r="A58" s="19" t="s">
        <v>20</v>
      </c>
      <c r="B58" s="19">
        <v>2020</v>
      </c>
      <c r="C58" s="14">
        <v>0</v>
      </c>
      <c r="D58" s="14">
        <v>0</v>
      </c>
      <c r="E58" s="14">
        <v>1</v>
      </c>
      <c r="F58" s="14">
        <v>1434.33</v>
      </c>
      <c r="G58" s="16">
        <f t="shared" si="7"/>
        <v>0.81296422381511535</v>
      </c>
      <c r="H58" s="14">
        <f t="shared" si="0"/>
        <v>7.268453120207762</v>
      </c>
      <c r="I58" s="17">
        <v>196735</v>
      </c>
      <c r="J58" s="15">
        <v>-1716</v>
      </c>
      <c r="K58" s="14">
        <f t="shared" si="1"/>
        <v>-0.87223930668157668</v>
      </c>
      <c r="L58" s="16">
        <f t="shared" si="8"/>
        <v>-2.6551810012225996</v>
      </c>
      <c r="M58" s="14">
        <v>1.0413346451454319</v>
      </c>
      <c r="N58" s="16">
        <f t="shared" si="9"/>
        <v>0.61203884966534006</v>
      </c>
      <c r="O58" s="14">
        <v>1.33</v>
      </c>
      <c r="P58" s="17">
        <v>-9.9999999999999867E-2</v>
      </c>
      <c r="Q58" s="14">
        <v>5553</v>
      </c>
      <c r="R58" s="14">
        <f>[1]Feuil1!J92/panel_choc_taux_suisse_2014_202!Q58</f>
        <v>134957.09836574824</v>
      </c>
      <c r="S58" s="14">
        <v>47.7</v>
      </c>
      <c r="T58" s="17">
        <f t="shared" si="2"/>
        <v>1.3253079163773598</v>
      </c>
      <c r="U58" s="17">
        <f t="shared" si="3"/>
        <v>0.70487275180665565</v>
      </c>
      <c r="V58" s="14">
        <v>97951.235279999994</v>
      </c>
      <c r="W58" s="16">
        <f t="shared" si="11"/>
        <v>0.53081271865454227</v>
      </c>
      <c r="X58" s="14">
        <f t="shared" si="4"/>
        <v>11.492225034625477</v>
      </c>
      <c r="Y58" s="14">
        <v>3.9</v>
      </c>
      <c r="Z58" s="16">
        <f t="shared" si="12"/>
        <v>1.1771244845546023</v>
      </c>
      <c r="AA58" s="14">
        <f t="shared" si="13"/>
        <v>1.3609765531356006</v>
      </c>
      <c r="AB58" s="14">
        <v>38729</v>
      </c>
      <c r="AC58" s="17">
        <v>540</v>
      </c>
      <c r="AD58" s="14">
        <f t="shared" si="5"/>
        <v>2.7448090070399268E-3</v>
      </c>
      <c r="AE58" s="14">
        <f t="shared" si="6"/>
        <v>1.0150903340920077</v>
      </c>
      <c r="AF58" s="14">
        <f t="shared" si="14"/>
        <v>-0.10150903340920063</v>
      </c>
      <c r="AG58" s="14">
        <f t="shared" si="15"/>
        <v>-0.10703862668686087</v>
      </c>
      <c r="AH58" s="14">
        <f t="shared" si="16"/>
        <v>-1.0383519395068745</v>
      </c>
      <c r="AI58" s="14">
        <f t="shared" si="37"/>
        <v>2.2919315314751998E-2</v>
      </c>
      <c r="AJ58" s="14">
        <f t="shared" si="38"/>
        <v>-0.22631704202194969</v>
      </c>
      <c r="AK58" s="14">
        <f t="shared" si="39"/>
        <v>0.89999999999999991</v>
      </c>
      <c r="AL58" s="14">
        <f t="shared" si="40"/>
        <v>7.9665696706339162E-3</v>
      </c>
    </row>
    <row r="59" spans="1:38" ht="17.25" customHeight="1" x14ac:dyDescent="0.2">
      <c r="A59" s="19" t="s">
        <v>20</v>
      </c>
      <c r="B59" s="19">
        <v>2021</v>
      </c>
      <c r="C59" s="14">
        <v>0</v>
      </c>
      <c r="D59" s="14">
        <v>0</v>
      </c>
      <c r="E59" s="14">
        <v>1</v>
      </c>
      <c r="F59" s="14">
        <v>1453.5</v>
      </c>
      <c r="G59" s="16">
        <f t="shared" si="7"/>
        <v>0.91013771727155779</v>
      </c>
      <c r="H59" s="14">
        <f t="shared" si="0"/>
        <v>7.281729719998931</v>
      </c>
      <c r="I59" s="17">
        <v>196036</v>
      </c>
      <c r="J59" s="15">
        <v>-2464</v>
      </c>
      <c r="K59" s="14">
        <f t="shared" si="1"/>
        <v>-1.2569119957558816</v>
      </c>
      <c r="L59" s="16">
        <f t="shared" si="8"/>
        <v>-3.8453522154544162</v>
      </c>
      <c r="M59" s="14">
        <v>1.0457435779736526</v>
      </c>
      <c r="N59" s="16">
        <f t="shared" si="9"/>
        <v>0.79609896607405228</v>
      </c>
      <c r="O59" s="14">
        <v>1.25</v>
      </c>
      <c r="P59" s="17">
        <v>-8.0000000000000071E-2</v>
      </c>
      <c r="Q59" s="14">
        <v>4634</v>
      </c>
      <c r="R59" s="14">
        <f>[1]Feuil1!J93/panel_choc_taux_suisse_2014_202!Q59</f>
        <v>166842.85413249888</v>
      </c>
      <c r="S59" s="14">
        <v>44.2</v>
      </c>
      <c r="T59" s="17">
        <f t="shared" si="2"/>
        <v>1.861514729711828</v>
      </c>
      <c r="U59" s="17">
        <f t="shared" si="3"/>
        <v>0.35150441545580952</v>
      </c>
      <c r="V59" s="14">
        <v>97755.332810000007</v>
      </c>
      <c r="W59" s="16">
        <f t="shared" si="11"/>
        <v>0.51969797223819947</v>
      </c>
      <c r="X59" s="14">
        <f t="shared" si="4"/>
        <v>11.490223031960532</v>
      </c>
      <c r="Y59" s="14">
        <v>3.9</v>
      </c>
      <c r="Z59" s="16">
        <f t="shared" si="12"/>
        <v>1.1771244845546023</v>
      </c>
      <c r="AA59" s="14">
        <f t="shared" si="13"/>
        <v>1.3609765531356006</v>
      </c>
      <c r="AB59" s="14">
        <v>38827</v>
      </c>
      <c r="AC59" s="17">
        <v>912</v>
      </c>
      <c r="AD59" s="14">
        <f t="shared" si="5"/>
        <v>4.6522067375380036E-3</v>
      </c>
      <c r="AE59" s="14">
        <f t="shared" si="6"/>
        <v>1.1065095725838188</v>
      </c>
      <c r="AF59" s="14">
        <f t="shared" si="14"/>
        <v>-8.8520765806705579E-2</v>
      </c>
      <c r="AG59" s="14">
        <f t="shared" si="15"/>
        <v>-9.2686467137969616E-2</v>
      </c>
      <c r="AH59" s="14">
        <f t="shared" si="16"/>
        <v>-0.90478535917720226</v>
      </c>
      <c r="AI59" s="14">
        <f t="shared" si="37"/>
        <v>1.3276599791169019E-2</v>
      </c>
      <c r="AJ59" s="14">
        <f t="shared" si="38"/>
        <v>-0.38467268907430496</v>
      </c>
      <c r="AK59" s="14">
        <f t="shared" si="39"/>
        <v>0</v>
      </c>
      <c r="AL59" s="14">
        <f t="shared" si="40"/>
        <v>-2.0020026649447686E-3</v>
      </c>
    </row>
    <row r="60" spans="1:38" ht="17.25" customHeight="1" x14ac:dyDescent="0.2">
      <c r="A60" s="19" t="s">
        <v>20</v>
      </c>
      <c r="B60" s="19">
        <v>2022</v>
      </c>
      <c r="C60" s="14">
        <v>0</v>
      </c>
      <c r="D60" s="14">
        <v>0</v>
      </c>
      <c r="E60" s="14">
        <v>1</v>
      </c>
      <c r="F60" s="14">
        <v>1454.5</v>
      </c>
      <c r="G60" s="16">
        <f t="shared" si="7"/>
        <v>0.91520675709714161</v>
      </c>
      <c r="H60" s="14">
        <f t="shared" si="0"/>
        <v>7.2824174779352564</v>
      </c>
      <c r="I60" s="17">
        <v>196786</v>
      </c>
      <c r="J60" s="15">
        <v>-1936</v>
      </c>
      <c r="K60" s="14">
        <f t="shared" si="1"/>
        <v>-0.98380982386958427</v>
      </c>
      <c r="L60" s="16">
        <f t="shared" si="8"/>
        <v>-3.0003784162864822</v>
      </c>
      <c r="M60" s="14">
        <v>0.98600652141555722</v>
      </c>
      <c r="N60" s="16">
        <f t="shared" si="9"/>
        <v>-1.6977493215702677</v>
      </c>
      <c r="O60" s="14">
        <v>1.21</v>
      </c>
      <c r="P60" s="17">
        <v>-4.0000000000000036E-2</v>
      </c>
      <c r="Q60" s="14">
        <v>5268</v>
      </c>
      <c r="R60" s="14">
        <f>[1]Feuil1!J94/panel_choc_taux_suisse_2014_202!Q60</f>
        <v>151126.13847127309</v>
      </c>
      <c r="S60" s="14">
        <v>46.8</v>
      </c>
      <c r="T60" s="17">
        <f t="shared" si="2"/>
        <v>1.5972145800638895</v>
      </c>
      <c r="U60" s="17">
        <f t="shared" si="3"/>
        <v>0.61400660817358033</v>
      </c>
      <c r="V60" s="14">
        <v>98635.130799999999</v>
      </c>
      <c r="W60" s="16">
        <f t="shared" si="11"/>
        <v>0.56961429823683907</v>
      </c>
      <c r="X60" s="14">
        <f t="shared" si="4"/>
        <v>11.499182773278372</v>
      </c>
      <c r="Y60" s="14">
        <v>3</v>
      </c>
      <c r="Z60" s="16">
        <f t="shared" si="12"/>
        <v>0.40187222059238209</v>
      </c>
      <c r="AA60" s="14">
        <f t="shared" si="13"/>
        <v>1.0986122886681098</v>
      </c>
      <c r="AB60" s="14">
        <v>38894</v>
      </c>
      <c r="AC60" s="17">
        <v>900</v>
      </c>
      <c r="AD60" s="14">
        <f t="shared" si="5"/>
        <v>4.573496082038356E-3</v>
      </c>
      <c r="AE60" s="14">
        <f t="shared" si="6"/>
        <v>1.1056105941187349</v>
      </c>
      <c r="AF60" s="14">
        <f t="shared" si="14"/>
        <v>-4.4224423764749436E-2</v>
      </c>
      <c r="AG60" s="14">
        <f t="shared" si="15"/>
        <v>-4.5232146381506327E-2</v>
      </c>
      <c r="AH60" s="14">
        <f t="shared" si="16"/>
        <v>-0.44925802414439064</v>
      </c>
      <c r="AI60" s="14">
        <f t="shared" si="37"/>
        <v>6.8775793632536164E-4</v>
      </c>
      <c r="AJ60" s="14">
        <f t="shared" si="38"/>
        <v>0.27310217188629737</v>
      </c>
      <c r="AK60" s="14">
        <f t="shared" si="39"/>
        <v>-0.89999999999999991</v>
      </c>
      <c r="AL60" s="14">
        <f t="shared" si="40"/>
        <v>8.9597413178399421E-3</v>
      </c>
    </row>
    <row r="61" spans="1:38" ht="17.25" customHeight="1" x14ac:dyDescent="0.2">
      <c r="A61" s="19" t="s">
        <v>20</v>
      </c>
      <c r="B61" s="19">
        <v>2023</v>
      </c>
      <c r="C61" s="14">
        <v>0</v>
      </c>
      <c r="D61" s="14">
        <v>0</v>
      </c>
      <c r="E61" s="14">
        <v>1</v>
      </c>
      <c r="F61" s="14">
        <v>1712.14</v>
      </c>
      <c r="G61" s="16">
        <f t="shared" si="7"/>
        <v>2.2211941777605593</v>
      </c>
      <c r="H61" s="14">
        <f t="shared" si="0"/>
        <v>7.4454993290591718</v>
      </c>
      <c r="I61" s="17">
        <v>200031</v>
      </c>
      <c r="J61" s="15">
        <v>-1651</v>
      </c>
      <c r="K61" s="14">
        <f t="shared" si="1"/>
        <v>-0.82537206732956392</v>
      </c>
      <c r="L61" s="16">
        <f t="shared" si="8"/>
        <v>-2.5101745041367005</v>
      </c>
      <c r="M61" s="14">
        <v>1.0341430614279774</v>
      </c>
      <c r="N61" s="16">
        <f t="shared" si="9"/>
        <v>0.31181115562449047</v>
      </c>
      <c r="O61" s="14">
        <v>1.48</v>
      </c>
      <c r="P61" s="17">
        <v>0.27</v>
      </c>
      <c r="Q61" s="14">
        <v>4753</v>
      </c>
      <c r="R61" s="14">
        <f>[1]Feuil1!J95/panel_choc_taux_suisse_2014_202!Q61</f>
        <v>171068.44973525492</v>
      </c>
      <c r="S61" s="14">
        <v>43.2</v>
      </c>
      <c r="T61" s="17">
        <f t="shared" si="2"/>
        <v>1.9325744583620941</v>
      </c>
      <c r="U61" s="17">
        <f t="shared" si="3"/>
        <v>0.25054203364128208</v>
      </c>
      <c r="V61" s="14">
        <v>115403.103</v>
      </c>
      <c r="W61" s="16">
        <f t="shared" si="11"/>
        <v>1.5209640128131752</v>
      </c>
      <c r="X61" s="14">
        <f t="shared" si="4"/>
        <v>11.656186521776087</v>
      </c>
      <c r="Y61" s="14">
        <v>3.1</v>
      </c>
      <c r="Z61" s="16">
        <f t="shared" si="12"/>
        <v>0.48801136103262888</v>
      </c>
      <c r="AA61" s="14">
        <f t="shared" si="13"/>
        <v>1.1314021114911006</v>
      </c>
      <c r="AB61" s="14">
        <v>39294</v>
      </c>
      <c r="AC61" s="17">
        <v>778</v>
      </c>
      <c r="AD61" s="14">
        <f t="shared" si="5"/>
        <v>3.8893971434427665E-3</v>
      </c>
      <c r="AE61" s="14">
        <f t="shared" si="6"/>
        <v>1.0915582460016882</v>
      </c>
      <c r="AF61" s="14">
        <f t="shared" si="14"/>
        <v>0.29472072642045583</v>
      </c>
      <c r="AG61" s="14">
        <f t="shared" si="15"/>
        <v>0.25829501662077958</v>
      </c>
      <c r="AH61" s="14">
        <f t="shared" si="16"/>
        <v>3.0363295857742982</v>
      </c>
      <c r="AI61" s="14">
        <f t="shared" si="37"/>
        <v>0.16308185112391538</v>
      </c>
      <c r="AJ61" s="14">
        <f t="shared" si="38"/>
        <v>0.15843775654002035</v>
      </c>
      <c r="AK61" s="14">
        <f t="shared" si="39"/>
        <v>0.10000000000000009</v>
      </c>
      <c r="AL61" s="14">
        <f t="shared" si="40"/>
        <v>0.15700374849771492</v>
      </c>
    </row>
    <row r="62" spans="1:38" ht="17.25" customHeight="1" x14ac:dyDescent="0.2">
      <c r="A62" s="19" t="s">
        <v>19</v>
      </c>
      <c r="B62" s="19">
        <v>2014</v>
      </c>
      <c r="C62" s="14">
        <v>0</v>
      </c>
      <c r="D62" s="14">
        <v>0</v>
      </c>
      <c r="E62" s="14">
        <v>1</v>
      </c>
      <c r="F62" s="14">
        <v>1206.17</v>
      </c>
      <c r="G62" s="16">
        <f t="shared" si="7"/>
        <v>-0.34358790279008999</v>
      </c>
      <c r="H62" s="14">
        <f t="shared" si="0"/>
        <v>7.0952053292103212</v>
      </c>
      <c r="I62" s="17">
        <v>303425</v>
      </c>
      <c r="J62" s="15">
        <v>1569</v>
      </c>
      <c r="K62" s="14">
        <f t="shared" si="1"/>
        <v>0.5170964818324133</v>
      </c>
      <c r="L62" s="16">
        <f t="shared" si="8"/>
        <v>1.6434019482729583</v>
      </c>
      <c r="M62" s="14">
        <v>1.0281149308624065</v>
      </c>
      <c r="N62" s="16">
        <f t="shared" si="9"/>
        <v>6.0154245243822686E-2</v>
      </c>
      <c r="O62" s="14">
        <v>1.95</v>
      </c>
      <c r="P62" s="17">
        <v>0</v>
      </c>
      <c r="Q62" s="14">
        <v>3861</v>
      </c>
      <c r="R62" s="14">
        <f>[1]Feuil1!J96/panel_choc_taux_suisse_2014_202!Q62</f>
        <v>164416.55874989208</v>
      </c>
      <c r="S62" s="14">
        <v>40.1</v>
      </c>
      <c r="T62" s="17">
        <f t="shared" si="2"/>
        <v>1.8207129332973815</v>
      </c>
      <c r="U62" s="17">
        <f t="shared" si="3"/>
        <v>-6.2441349983753183E-2</v>
      </c>
      <c r="V62" s="14">
        <v>78231.394969999994</v>
      </c>
      <c r="W62" s="16">
        <f t="shared" si="11"/>
        <v>-0.58801454481202198</v>
      </c>
      <c r="X62" s="14">
        <f t="shared" si="4"/>
        <v>11.267426316170406</v>
      </c>
      <c r="Y62" s="14">
        <v>2.7</v>
      </c>
      <c r="Z62" s="16">
        <f t="shared" si="12"/>
        <v>0.14345479927164217</v>
      </c>
      <c r="AA62" s="14">
        <f t="shared" si="13"/>
        <v>0.99325177301028345</v>
      </c>
      <c r="AB62" s="14">
        <v>43493</v>
      </c>
      <c r="AC62" s="17">
        <v>2135</v>
      </c>
      <c r="AD62" s="14">
        <f t="shared" si="5"/>
        <v>7.0363351734365987E-3</v>
      </c>
      <c r="AE62" s="14">
        <f t="shared" si="6"/>
        <v>0.8791357916568141</v>
      </c>
      <c r="AF62" s="14">
        <f t="shared" si="14"/>
        <v>0</v>
      </c>
      <c r="AG62" s="14">
        <f t="shared" si="15"/>
        <v>0</v>
      </c>
      <c r="AH62" s="14">
        <f t="shared" si="16"/>
        <v>5.5297297030243815E-3</v>
      </c>
      <c r="AI62" s="14">
        <v>0</v>
      </c>
      <c r="AJ62" s="14">
        <v>0</v>
      </c>
      <c r="AK62" s="14">
        <v>0</v>
      </c>
      <c r="AL62" s="14">
        <v>0</v>
      </c>
    </row>
    <row r="63" spans="1:38" ht="17.25" customHeight="1" x14ac:dyDescent="0.2">
      <c r="A63" s="19" t="s">
        <v>19</v>
      </c>
      <c r="B63" s="19">
        <v>2015</v>
      </c>
      <c r="C63" s="14">
        <v>0</v>
      </c>
      <c r="D63" s="14">
        <v>0</v>
      </c>
      <c r="E63" s="14">
        <v>1</v>
      </c>
      <c r="F63" s="14">
        <v>1156.17</v>
      </c>
      <c r="G63" s="16">
        <f t="shared" si="7"/>
        <v>-0.59703989406928137</v>
      </c>
      <c r="H63" s="14">
        <f t="shared" si="0"/>
        <v>7.0528680972437634</v>
      </c>
      <c r="I63" s="17">
        <v>307510</v>
      </c>
      <c r="J63" s="15">
        <v>936</v>
      </c>
      <c r="K63" s="14">
        <f t="shared" si="1"/>
        <v>0.30438034535462261</v>
      </c>
      <c r="L63" s="16">
        <f t="shared" si="8"/>
        <v>0.9852615873138526</v>
      </c>
      <c r="M63" s="14">
        <v>1.0174024043472965</v>
      </c>
      <c r="N63" s="16">
        <f t="shared" si="9"/>
        <v>-0.38706256531446542</v>
      </c>
      <c r="O63" s="14">
        <v>1.84</v>
      </c>
      <c r="P63" s="17">
        <v>-0.10999999999999988</v>
      </c>
      <c r="Q63" s="14">
        <v>4422</v>
      </c>
      <c r="R63" s="14">
        <f>[1]Feuil1!J97/panel_choc_taux_suisse_2014_202!Q63</f>
        <v>148367.74930084427</v>
      </c>
      <c r="S63" s="14">
        <v>43.1</v>
      </c>
      <c r="T63" s="17">
        <f t="shared" si="2"/>
        <v>1.5508281284510892</v>
      </c>
      <c r="U63" s="17">
        <f t="shared" si="3"/>
        <v>0.24044579545982919</v>
      </c>
      <c r="V63" s="14">
        <v>78544.320550000004</v>
      </c>
      <c r="W63" s="16">
        <f t="shared" si="11"/>
        <v>-0.5702603609628476</v>
      </c>
      <c r="X63" s="14">
        <f t="shared" si="4"/>
        <v>11.271418337441471</v>
      </c>
      <c r="Y63" s="14">
        <v>2.8</v>
      </c>
      <c r="Z63" s="16">
        <f t="shared" si="12"/>
        <v>0.22959393971188854</v>
      </c>
      <c r="AA63" s="14">
        <f t="shared" si="13"/>
        <v>1.0296194171811581</v>
      </c>
      <c r="AB63" s="14">
        <v>44779</v>
      </c>
      <c r="AC63" s="17">
        <v>2635</v>
      </c>
      <c r="AD63" s="14">
        <f t="shared" si="5"/>
        <v>8.5688270300152847E-3</v>
      </c>
      <c r="AE63" s="14">
        <f t="shared" si="6"/>
        <v>0.89563696195545917</v>
      </c>
      <c r="AF63" s="14">
        <f t="shared" si="14"/>
        <v>-9.8520065815100394E-2</v>
      </c>
      <c r="AG63" s="14">
        <f t="shared" si="15"/>
        <v>-0.10371749483950689</v>
      </c>
      <c r="AH63" s="14">
        <f t="shared" si="16"/>
        <v>-1.0076144930299107</v>
      </c>
      <c r="AI63" s="14">
        <f t="shared" ref="AI63:AI71" si="41">LN(F63)-LN(F62)</f>
        <v>-4.2337231966557809E-2</v>
      </c>
      <c r="AJ63" s="14">
        <f t="shared" ref="AJ63:AJ71" si="42">K63-K62</f>
        <v>-0.2127161364777907</v>
      </c>
      <c r="AK63" s="14">
        <f t="shared" ref="AK63:AK71" si="43">Y63-Y62</f>
        <v>9.9999999999999645E-2</v>
      </c>
      <c r="AL63" s="14">
        <f t="shared" ref="AL63:AL71" si="44">LN(V63)-LN(V62)</f>
        <v>3.9920212710651271E-3</v>
      </c>
    </row>
    <row r="64" spans="1:38" ht="17.25" customHeight="1" x14ac:dyDescent="0.2">
      <c r="A64" s="19" t="s">
        <v>19</v>
      </c>
      <c r="B64" s="19">
        <v>2016</v>
      </c>
      <c r="C64" s="14">
        <v>0</v>
      </c>
      <c r="D64" s="14">
        <v>0</v>
      </c>
      <c r="E64" s="14">
        <v>1</v>
      </c>
      <c r="F64" s="14">
        <v>1162.33</v>
      </c>
      <c r="G64" s="16">
        <f t="shared" si="7"/>
        <v>-0.56581460874368572</v>
      </c>
      <c r="H64" s="14">
        <f t="shared" si="0"/>
        <v>7.058181890208763</v>
      </c>
      <c r="I64" s="17">
        <v>311963</v>
      </c>
      <c r="J64" s="15">
        <v>1187</v>
      </c>
      <c r="K64" s="14">
        <f t="shared" si="1"/>
        <v>0.38049384061571406</v>
      </c>
      <c r="L64" s="16">
        <f t="shared" si="8"/>
        <v>1.220755537488263</v>
      </c>
      <c r="M64" s="14">
        <v>0.98347652295718835</v>
      </c>
      <c r="N64" s="16">
        <f t="shared" si="9"/>
        <v>-1.8033693953850858</v>
      </c>
      <c r="O64" s="14">
        <v>1.71</v>
      </c>
      <c r="P64" s="17">
        <v>-0.13000000000000012</v>
      </c>
      <c r="Q64" s="14">
        <v>4208</v>
      </c>
      <c r="R64" s="14">
        <f>[1]Feuil1!J98/panel_choc_taux_suisse_2014_202!Q64</f>
        <v>160547.31248019644</v>
      </c>
      <c r="S64" s="14">
        <v>39.9</v>
      </c>
      <c r="T64" s="17">
        <f t="shared" si="2"/>
        <v>1.7556457532230982</v>
      </c>
      <c r="U64" s="17">
        <f t="shared" si="3"/>
        <v>-8.2633826346658959E-2</v>
      </c>
      <c r="V64" s="14">
        <v>79094.130789999996</v>
      </c>
      <c r="W64" s="16">
        <f t="shared" si="11"/>
        <v>-0.53906626017019854</v>
      </c>
      <c r="X64" s="14">
        <f t="shared" si="4"/>
        <v>11.278393951129221</v>
      </c>
      <c r="Y64" s="14">
        <v>2.8</v>
      </c>
      <c r="Z64" s="16">
        <f t="shared" si="12"/>
        <v>0.22959393971188854</v>
      </c>
      <c r="AA64" s="14">
        <f t="shared" si="13"/>
        <v>1.0296194171811581</v>
      </c>
      <c r="AB64" s="14">
        <v>46154</v>
      </c>
      <c r="AC64" s="17">
        <v>2179</v>
      </c>
      <c r="AD64" s="14">
        <f t="shared" si="5"/>
        <v>6.9848026849337903E-3</v>
      </c>
      <c r="AE64" s="14">
        <f t="shared" si="6"/>
        <v>0.83650596343821959</v>
      </c>
      <c r="AF64" s="14">
        <f t="shared" si="14"/>
        <v>-0.10874577524696864</v>
      </c>
      <c r="AG64" s="14">
        <f t="shared" si="15"/>
        <v>-0.11512556700901062</v>
      </c>
      <c r="AH64" s="14">
        <f t="shared" si="16"/>
        <v>-1.1127719383536538</v>
      </c>
      <c r="AI64" s="14">
        <f t="shared" si="41"/>
        <v>5.3137929649995641E-3</v>
      </c>
      <c r="AJ64" s="14">
        <f t="shared" si="42"/>
        <v>7.6113495261091457E-2</v>
      </c>
      <c r="AK64" s="14">
        <f t="shared" si="43"/>
        <v>0</v>
      </c>
      <c r="AL64" s="14">
        <f t="shared" si="44"/>
        <v>6.9756136877501262E-3</v>
      </c>
    </row>
    <row r="65" spans="1:38" ht="17.25" customHeight="1" x14ac:dyDescent="0.2">
      <c r="A65" s="19" t="s">
        <v>19</v>
      </c>
      <c r="B65" s="19">
        <v>2017</v>
      </c>
      <c r="C65" s="14">
        <v>0</v>
      </c>
      <c r="D65" s="14">
        <v>0</v>
      </c>
      <c r="E65" s="14">
        <v>1</v>
      </c>
      <c r="F65" s="14">
        <v>1189.33</v>
      </c>
      <c r="G65" s="16">
        <f t="shared" si="7"/>
        <v>-0.42895053345292239</v>
      </c>
      <c r="H65" s="14">
        <f t="shared" si="0"/>
        <v>7.0811454023372802</v>
      </c>
      <c r="I65" s="17">
        <v>315120</v>
      </c>
      <c r="J65" s="15">
        <v>1203</v>
      </c>
      <c r="K65" s="14">
        <f t="shared" si="1"/>
        <v>0.38175932977913174</v>
      </c>
      <c r="L65" s="16">
        <f t="shared" si="8"/>
        <v>1.2246709409390422</v>
      </c>
      <c r="M65" s="14">
        <v>1.0635156673797794</v>
      </c>
      <c r="N65" s="16">
        <f t="shared" si="9"/>
        <v>1.5380319853253162</v>
      </c>
      <c r="O65" s="14">
        <v>1.56</v>
      </c>
      <c r="P65" s="17">
        <v>-0.14999999999999991</v>
      </c>
      <c r="Q65" s="14">
        <v>3937</v>
      </c>
      <c r="R65" s="14">
        <f>[1]Feuil1!J99/panel_choc_taux_suisse_2014_202!Q65</f>
        <v>175862.96907967146</v>
      </c>
      <c r="S65" s="14">
        <v>39.9</v>
      </c>
      <c r="T65" s="17">
        <f t="shared" si="2"/>
        <v>2.0132014931404529</v>
      </c>
      <c r="U65" s="17">
        <f t="shared" si="3"/>
        <v>-8.2633826346658959E-2</v>
      </c>
      <c r="V65" s="14">
        <v>79410.507310000001</v>
      </c>
      <c r="W65" s="16">
        <f t="shared" si="11"/>
        <v>-0.52111628336855165</v>
      </c>
      <c r="X65" s="14">
        <f t="shared" si="4"/>
        <v>11.282385972358965</v>
      </c>
      <c r="Y65" s="14">
        <v>2.6</v>
      </c>
      <c r="Z65" s="16">
        <f t="shared" si="12"/>
        <v>5.7315658831395402E-2</v>
      </c>
      <c r="AA65" s="14">
        <f t="shared" si="13"/>
        <v>0.95551144502743635</v>
      </c>
      <c r="AB65" s="14">
        <v>48891</v>
      </c>
      <c r="AC65" s="17">
        <v>2185</v>
      </c>
      <c r="AD65" s="14">
        <f t="shared" si="5"/>
        <v>6.933866463569434E-3</v>
      </c>
      <c r="AE65" s="14">
        <f t="shared" si="6"/>
        <v>0.96528383339689694</v>
      </c>
      <c r="AF65" s="14">
        <f t="shared" si="14"/>
        <v>-0.14479257500953446</v>
      </c>
      <c r="AG65" s="14">
        <f t="shared" si="15"/>
        <v>-0.15641123714053309</v>
      </c>
      <c r="AH65" s="14">
        <f t="shared" si="16"/>
        <v>-1.483464006261884</v>
      </c>
      <c r="AI65" s="14">
        <f t="shared" si="41"/>
        <v>2.2963512128517216E-2</v>
      </c>
      <c r="AJ65" s="14">
        <f t="shared" si="42"/>
        <v>1.2654891634176768E-3</v>
      </c>
      <c r="AK65" s="14">
        <f t="shared" si="43"/>
        <v>-0.19999999999999973</v>
      </c>
      <c r="AL65" s="14">
        <f t="shared" si="44"/>
        <v>3.9920212297435143E-3</v>
      </c>
    </row>
    <row r="66" spans="1:38" ht="17.25" customHeight="1" x14ac:dyDescent="0.2">
      <c r="A66" s="19" t="s">
        <v>19</v>
      </c>
      <c r="B66" s="19">
        <v>2018</v>
      </c>
      <c r="C66" s="14">
        <v>0</v>
      </c>
      <c r="D66" s="14">
        <v>0</v>
      </c>
      <c r="E66" s="14">
        <v>1</v>
      </c>
      <c r="F66" s="14">
        <v>1196.83</v>
      </c>
      <c r="G66" s="16">
        <f t="shared" si="7"/>
        <v>-0.39093273476104368</v>
      </c>
      <c r="H66" s="14">
        <f t="shared" ref="H66:H129" si="45">LN(F66)</f>
        <v>7.0874316737509648</v>
      </c>
      <c r="I66" s="17">
        <v>318760</v>
      </c>
      <c r="J66" s="15">
        <v>1536</v>
      </c>
      <c r="K66" s="14">
        <f t="shared" ref="K66:K129" si="46">(J66/I66)*100</f>
        <v>0.4818672355377086</v>
      </c>
      <c r="L66" s="16">
        <f t="shared" si="8"/>
        <v>1.5344032175859943</v>
      </c>
      <c r="M66" s="14">
        <v>1.0301138707197743</v>
      </c>
      <c r="N66" s="16">
        <f t="shared" si="9"/>
        <v>0.14360416774800241</v>
      </c>
      <c r="O66" s="14">
        <v>1.5</v>
      </c>
      <c r="P66" s="17">
        <v>-6.0000000000000053E-2</v>
      </c>
      <c r="Q66" s="14">
        <v>3846</v>
      </c>
      <c r="R66" s="14">
        <f>[1]Feuil1!J100/panel_choc_taux_suisse_2014_202!Q66</f>
        <v>184825.56947911251</v>
      </c>
      <c r="S66" s="14">
        <v>40.700000000000003</v>
      </c>
      <c r="T66" s="17">
        <f t="shared" ref="T66:T129" si="47">(R66-AVERAGE($R$2:$R$261))/STDEV($R$2:$R$261)</f>
        <v>2.1639210631744756</v>
      </c>
      <c r="U66" s="17">
        <f t="shared" ref="U66:U129" si="48">(S66-AVERAGE($S$2:$S$261))/STDEV($S$2:$S$261)</f>
        <v>-1.8639208950365625E-3</v>
      </c>
      <c r="V66" s="14">
        <v>79807.559850000005</v>
      </c>
      <c r="W66" s="16">
        <f t="shared" si="11"/>
        <v>-0.49858906206263764</v>
      </c>
      <c r="X66" s="14">
        <f t="shared" ref="X66:X129" si="49">LN(V66)</f>
        <v>11.287373513913233</v>
      </c>
      <c r="Y66" s="14">
        <v>2.6</v>
      </c>
      <c r="Z66" s="16">
        <f t="shared" si="12"/>
        <v>5.7315658831395402E-2</v>
      </c>
      <c r="AA66" s="14">
        <f t="shared" si="13"/>
        <v>0.95551144502743635</v>
      </c>
      <c r="AB66" s="14">
        <v>50139</v>
      </c>
      <c r="AC66" s="17">
        <v>2863</v>
      </c>
      <c r="AD66" s="14">
        <f t="shared" ref="AD66:AD129" si="50">AC66/I66</f>
        <v>8.9816790061488273E-3</v>
      </c>
      <c r="AE66" s="14">
        <f t="shared" ref="AE66:AE129" si="51">0.5*T66+0.5*U66</f>
        <v>1.0810285711397196</v>
      </c>
      <c r="AF66" s="14">
        <f t="shared" si="14"/>
        <v>-6.4861714268383233E-2</v>
      </c>
      <c r="AG66" s="14">
        <f t="shared" si="15"/>
        <v>-6.7060861451255532E-2</v>
      </c>
      <c r="AH66" s="14">
        <f t="shared" si="16"/>
        <v>-0.66148435056461863</v>
      </c>
      <c r="AI66" s="14">
        <f t="shared" si="41"/>
        <v>6.286271413684652E-3</v>
      </c>
      <c r="AJ66" s="14">
        <f t="shared" si="42"/>
        <v>0.10010790575857687</v>
      </c>
      <c r="AK66" s="14">
        <f t="shared" si="43"/>
        <v>0</v>
      </c>
      <c r="AL66" s="14">
        <f t="shared" si="44"/>
        <v>4.9875415542679491E-3</v>
      </c>
    </row>
    <row r="67" spans="1:38" ht="17.25" customHeight="1" x14ac:dyDescent="0.2">
      <c r="A67" s="19" t="s">
        <v>19</v>
      </c>
      <c r="B67" s="19">
        <v>2019</v>
      </c>
      <c r="C67" s="14">
        <v>0</v>
      </c>
      <c r="D67" s="14">
        <v>0</v>
      </c>
      <c r="E67" s="14">
        <v>1</v>
      </c>
      <c r="F67" s="14">
        <v>1217.33</v>
      </c>
      <c r="G67" s="16">
        <f t="shared" ref="G67:G130" si="52">(F67-AVERAGE($F$2:$F$261))/STDEV($F$2:$F$261)</f>
        <v>-0.28701741833657518</v>
      </c>
      <c r="H67" s="14">
        <f t="shared" si="45"/>
        <v>7.1044152148173705</v>
      </c>
      <c r="I67" s="17">
        <v>321831</v>
      </c>
      <c r="J67" s="15">
        <v>1148</v>
      </c>
      <c r="K67" s="14">
        <f t="shared" si="46"/>
        <v>0.35670895594271529</v>
      </c>
      <c r="L67" s="16">
        <f t="shared" ref="L67:L130" si="53">(K67-AVERAGE($K$2:$K$261))/STDEV($K$2:$K$261)</f>
        <v>1.1471654806018523</v>
      </c>
      <c r="M67" s="14">
        <v>1.036888899675622</v>
      </c>
      <c r="N67" s="16">
        <f t="shared" ref="N67:N130" si="54">(M67-AVERAGE($M$2:$M$261))/STDEV($M$2:$M$261)</f>
        <v>0.42644191258817377</v>
      </c>
      <c r="O67" s="14">
        <v>1.43</v>
      </c>
      <c r="P67" s="17">
        <v>-7.0000000000000062E-2</v>
      </c>
      <c r="Q67" s="14">
        <v>3964</v>
      </c>
      <c r="R67" s="14">
        <f>[1]Feuil1!J101/panel_choc_taux_suisse_2014_202!Q67</f>
        <v>184199.48366128487</v>
      </c>
      <c r="S67" s="14">
        <v>39.700000000000003</v>
      </c>
      <c r="T67" s="17">
        <f t="shared" si="47"/>
        <v>2.1533924909898601</v>
      </c>
      <c r="U67" s="17">
        <f t="shared" si="48"/>
        <v>-0.10282630270956403</v>
      </c>
      <c r="V67" s="14">
        <v>80526</v>
      </c>
      <c r="W67" s="16">
        <f t="shared" ref="W67:W130" si="55">(V67-AVERAGE($V$2:$V$261))/STDEV($V$2:$V$261)</f>
        <v>-0.45782755414203918</v>
      </c>
      <c r="X67" s="14">
        <f t="shared" si="49"/>
        <v>11.296335392625862</v>
      </c>
      <c r="Y67" s="14">
        <v>2.5</v>
      </c>
      <c r="Z67" s="16">
        <f t="shared" ref="Z67:Z130" si="56">(Y67-AVERAGE($Y$2:$Y$261))/STDEV($Y$2:$Y$261)</f>
        <v>-2.882348160885137E-2</v>
      </c>
      <c r="AA67" s="14">
        <f t="shared" ref="AA67:AA130" si="57">LN(Y67)</f>
        <v>0.91629073187415511</v>
      </c>
      <c r="AB67" s="14">
        <v>51509</v>
      </c>
      <c r="AC67" s="17">
        <v>3146</v>
      </c>
      <c r="AD67" s="14">
        <f t="shared" si="50"/>
        <v>9.7753168588482781E-3</v>
      </c>
      <c r="AE67" s="14">
        <f t="shared" si="51"/>
        <v>1.0252830941401481</v>
      </c>
      <c r="AF67" s="14">
        <f t="shared" ref="AF67:AF130" si="58">AE67*P67</f>
        <v>-7.1769816589810423E-2</v>
      </c>
      <c r="AG67" s="14">
        <f t="shared" ref="AG67:AG130" si="59">LN(1+AF67)</f>
        <v>-7.44755344855067E-2</v>
      </c>
      <c r="AH67" s="14">
        <f t="shared" ref="AH67:AH130" si="60">(AF67-AVERAGE($AF$2:$AF$261))/STDEV($AF$2:$AF$261)</f>
        <v>-0.73252474116014743</v>
      </c>
      <c r="AI67" s="14">
        <f t="shared" si="41"/>
        <v>1.698354106640565E-2</v>
      </c>
      <c r="AJ67" s="14">
        <f t="shared" si="42"/>
        <v>-0.12515827959499332</v>
      </c>
      <c r="AK67" s="14">
        <f t="shared" si="43"/>
        <v>-0.10000000000000009</v>
      </c>
      <c r="AL67" s="14">
        <f t="shared" si="44"/>
        <v>8.9618787126291011E-3</v>
      </c>
    </row>
    <row r="68" spans="1:38" ht="17.25" customHeight="1" x14ac:dyDescent="0.2">
      <c r="A68" s="19" t="s">
        <v>19</v>
      </c>
      <c r="B68" s="19">
        <v>2020</v>
      </c>
      <c r="C68" s="14">
        <v>0</v>
      </c>
      <c r="D68" s="14">
        <v>0</v>
      </c>
      <c r="E68" s="14">
        <v>1</v>
      </c>
      <c r="F68" s="14">
        <v>1234</v>
      </c>
      <c r="G68" s="16">
        <f t="shared" si="52"/>
        <v>-0.20251652444409243</v>
      </c>
      <c r="H68" s="14">
        <f t="shared" si="45"/>
        <v>7.1180162044653335</v>
      </c>
      <c r="I68" s="17">
        <v>325547</v>
      </c>
      <c r="J68" s="15">
        <v>1709</v>
      </c>
      <c r="K68" s="14">
        <f t="shared" si="46"/>
        <v>0.52496260140624862</v>
      </c>
      <c r="L68" s="16">
        <f t="shared" si="53"/>
        <v>1.6677395977874416</v>
      </c>
      <c r="M68" s="14">
        <v>1.0413346451454319</v>
      </c>
      <c r="N68" s="16">
        <f t="shared" si="54"/>
        <v>0.61203884966534006</v>
      </c>
      <c r="O68" s="14">
        <v>1.33</v>
      </c>
      <c r="P68" s="17">
        <v>-9.9999999999999867E-2</v>
      </c>
      <c r="Q68" s="14">
        <v>4049</v>
      </c>
      <c r="R68" s="14">
        <f>[1]Feuil1!J102/panel_choc_taux_suisse_2014_202!Q68</f>
        <v>185086.87755618672</v>
      </c>
      <c r="S68" s="14">
        <v>38.799999999999997</v>
      </c>
      <c r="T68" s="17">
        <f t="shared" si="47"/>
        <v>2.1683153504647468</v>
      </c>
      <c r="U68" s="17">
        <f t="shared" si="48"/>
        <v>-0.1936924463426393</v>
      </c>
      <c r="V68" s="14">
        <v>81170.034509999998</v>
      </c>
      <c r="W68" s="16">
        <f t="shared" si="55"/>
        <v>-0.42128753368173522</v>
      </c>
      <c r="X68" s="14">
        <f t="shared" si="49"/>
        <v>11.304301424912209</v>
      </c>
      <c r="Y68" s="14">
        <v>3.3</v>
      </c>
      <c r="Z68" s="16">
        <f t="shared" si="56"/>
        <v>0.66028964191312201</v>
      </c>
      <c r="AA68" s="14">
        <f t="shared" si="57"/>
        <v>1.1939224684724346</v>
      </c>
      <c r="AB68" s="14">
        <v>52615</v>
      </c>
      <c r="AC68" s="17">
        <v>2972</v>
      </c>
      <c r="AD68" s="14">
        <f t="shared" si="50"/>
        <v>9.1292501543555928E-3</v>
      </c>
      <c r="AE68" s="14">
        <f t="shared" si="51"/>
        <v>0.98731145206105375</v>
      </c>
      <c r="AF68" s="14">
        <f t="shared" si="58"/>
        <v>-9.873114520610525E-2</v>
      </c>
      <c r="AG68" s="14">
        <f t="shared" si="59"/>
        <v>-0.10395166988736701</v>
      </c>
      <c r="AH68" s="14">
        <f t="shared" si="60"/>
        <v>-1.0097851560696198</v>
      </c>
      <c r="AI68" s="14">
        <f t="shared" si="41"/>
        <v>1.3600989647962969E-2</v>
      </c>
      <c r="AJ68" s="14">
        <f t="shared" si="42"/>
        <v>0.16825364546353333</v>
      </c>
      <c r="AK68" s="14">
        <f t="shared" si="43"/>
        <v>0.79999999999999982</v>
      </c>
      <c r="AL68" s="14">
        <f t="shared" si="44"/>
        <v>7.966032286347513E-3</v>
      </c>
    </row>
    <row r="69" spans="1:38" ht="17.25" customHeight="1" x14ac:dyDescent="0.2">
      <c r="A69" s="19" t="s">
        <v>19</v>
      </c>
      <c r="B69" s="19">
        <v>2021</v>
      </c>
      <c r="C69" s="14">
        <v>0</v>
      </c>
      <c r="D69" s="14">
        <v>0</v>
      </c>
      <c r="E69" s="14">
        <v>1</v>
      </c>
      <c r="F69" s="14">
        <v>1249.67</v>
      </c>
      <c r="G69" s="16">
        <f t="shared" si="52"/>
        <v>-0.12308467037719348</v>
      </c>
      <c r="H69" s="14">
        <f t="shared" si="45"/>
        <v>7.1306347954422122</v>
      </c>
      <c r="I69" s="17">
        <v>329860</v>
      </c>
      <c r="J69" s="15">
        <v>1731</v>
      </c>
      <c r="K69" s="14">
        <f t="shared" si="46"/>
        <v>0.52476808342933368</v>
      </c>
      <c r="L69" s="16">
        <f t="shared" si="53"/>
        <v>1.6671377622442636</v>
      </c>
      <c r="M69" s="14">
        <v>1.0457435779736526</v>
      </c>
      <c r="N69" s="16">
        <f t="shared" si="54"/>
        <v>0.79609896607405228</v>
      </c>
      <c r="O69" s="14">
        <v>1.25</v>
      </c>
      <c r="P69" s="17">
        <v>-8.0000000000000071E-2</v>
      </c>
      <c r="Q69" s="14">
        <v>4189</v>
      </c>
      <c r="R69" s="14">
        <f>[1]Feuil1!J103/panel_choc_taux_suisse_2014_202!Q69</f>
        <v>184566.67129386484</v>
      </c>
      <c r="S69" s="14">
        <v>39.700000000000003</v>
      </c>
      <c r="T69" s="17">
        <f t="shared" si="47"/>
        <v>2.1595673018302177</v>
      </c>
      <c r="U69" s="17">
        <f t="shared" si="48"/>
        <v>-0.10282630270956403</v>
      </c>
      <c r="V69" s="14">
        <v>81007.694440000007</v>
      </c>
      <c r="W69" s="16">
        <f t="shared" si="55"/>
        <v>-0.43049807968077936</v>
      </c>
      <c r="X69" s="14">
        <f t="shared" si="49"/>
        <v>11.302299422229439</v>
      </c>
      <c r="Y69" s="14">
        <v>3</v>
      </c>
      <c r="Z69" s="16">
        <f t="shared" si="56"/>
        <v>0.40187222059238209</v>
      </c>
      <c r="AA69" s="14">
        <f t="shared" si="57"/>
        <v>1.0986122886681098</v>
      </c>
      <c r="AB69" s="14">
        <v>54164</v>
      </c>
      <c r="AC69" s="17">
        <v>2127</v>
      </c>
      <c r="AD69" s="14">
        <f t="shared" si="50"/>
        <v>6.4481901412720552E-3</v>
      </c>
      <c r="AE69" s="14">
        <f t="shared" si="51"/>
        <v>1.0283704995603269</v>
      </c>
      <c r="AF69" s="14">
        <f t="shared" si="58"/>
        <v>-8.2269639964826224E-2</v>
      </c>
      <c r="AG69" s="14">
        <f t="shared" si="59"/>
        <v>-8.5851656959296363E-2</v>
      </c>
      <c r="AH69" s="14">
        <f t="shared" si="60"/>
        <v>-0.84050107373871341</v>
      </c>
      <c r="AI69" s="14">
        <f t="shared" si="41"/>
        <v>1.2618590976878785E-2</v>
      </c>
      <c r="AJ69" s="14">
        <f t="shared" si="42"/>
        <v>-1.9451797691494299E-4</v>
      </c>
      <c r="AK69" s="14">
        <f t="shared" si="43"/>
        <v>-0.29999999999999982</v>
      </c>
      <c r="AL69" s="14">
        <f t="shared" si="44"/>
        <v>-2.0020026827705095E-3</v>
      </c>
    </row>
    <row r="70" spans="1:38" ht="17.25" customHeight="1" x14ac:dyDescent="0.2">
      <c r="A70" s="19" t="s">
        <v>19</v>
      </c>
      <c r="B70" s="19">
        <v>2022</v>
      </c>
      <c r="C70" s="14">
        <v>0</v>
      </c>
      <c r="D70" s="14">
        <v>0</v>
      </c>
      <c r="E70" s="14">
        <v>1</v>
      </c>
      <c r="F70" s="14">
        <v>1252.33</v>
      </c>
      <c r="G70" s="16">
        <f t="shared" si="52"/>
        <v>-0.10960102444114124</v>
      </c>
      <c r="H70" s="14">
        <f t="shared" si="45"/>
        <v>7.1327610952041534</v>
      </c>
      <c r="I70" s="17">
        <v>334465</v>
      </c>
      <c r="J70" s="15">
        <v>1952</v>
      </c>
      <c r="K70" s="14">
        <f t="shared" si="46"/>
        <v>0.58361861480274468</v>
      </c>
      <c r="L70" s="16">
        <f t="shared" si="53"/>
        <v>1.849220375261146</v>
      </c>
      <c r="M70" s="14">
        <v>0.98600652141555722</v>
      </c>
      <c r="N70" s="16">
        <f t="shared" si="54"/>
        <v>-1.6977493215702677</v>
      </c>
      <c r="O70" s="14">
        <v>1.21</v>
      </c>
      <c r="P70" s="17">
        <v>-4.0000000000000036E-2</v>
      </c>
      <c r="Q70" s="14">
        <v>3744</v>
      </c>
      <c r="R70" s="14">
        <f>[1]Feuil1!J104/panel_choc_taux_suisse_2014_202!Q70</f>
        <v>212642.22688746441</v>
      </c>
      <c r="S70" s="14">
        <v>37.4</v>
      </c>
      <c r="T70" s="17">
        <f t="shared" si="47"/>
        <v>2.6316998837756902</v>
      </c>
      <c r="U70" s="17">
        <f t="shared" si="48"/>
        <v>-0.33503978088297759</v>
      </c>
      <c r="V70" s="14">
        <v>81736.763690000007</v>
      </c>
      <c r="W70" s="16">
        <f t="shared" si="55"/>
        <v>-0.38913351784700656</v>
      </c>
      <c r="X70" s="14">
        <f t="shared" si="49"/>
        <v>11.311259163601399</v>
      </c>
      <c r="Y70" s="14">
        <v>2.2999999999999998</v>
      </c>
      <c r="Z70" s="16">
        <f t="shared" si="56"/>
        <v>-0.20110176248934492</v>
      </c>
      <c r="AA70" s="14">
        <f t="shared" si="57"/>
        <v>0.83290912293510388</v>
      </c>
      <c r="AB70" s="14">
        <v>55618</v>
      </c>
      <c r="AC70" s="17">
        <v>2501</v>
      </c>
      <c r="AD70" s="14">
        <f t="shared" si="50"/>
        <v>7.477613502160166E-3</v>
      </c>
      <c r="AE70" s="14">
        <f t="shared" si="51"/>
        <v>1.1483300514463564</v>
      </c>
      <c r="AF70" s="14">
        <f t="shared" si="58"/>
        <v>-4.5933202057854297E-2</v>
      </c>
      <c r="AG70" s="14">
        <f t="shared" si="59"/>
        <v>-4.7021591177772222E-2</v>
      </c>
      <c r="AH70" s="14">
        <f t="shared" si="60"/>
        <v>-0.46683047338371386</v>
      </c>
      <c r="AI70" s="14">
        <f t="shared" si="41"/>
        <v>2.1262997619411195E-3</v>
      </c>
      <c r="AJ70" s="14">
        <f t="shared" si="42"/>
        <v>5.8850531373411008E-2</v>
      </c>
      <c r="AK70" s="14">
        <f t="shared" si="43"/>
        <v>-0.70000000000000018</v>
      </c>
      <c r="AL70" s="14">
        <f t="shared" si="44"/>
        <v>8.9597413719602059E-3</v>
      </c>
    </row>
    <row r="71" spans="1:38" ht="17.25" customHeight="1" x14ac:dyDescent="0.2">
      <c r="A71" s="19" t="s">
        <v>19</v>
      </c>
      <c r="B71" s="19">
        <v>2023</v>
      </c>
      <c r="C71" s="14">
        <v>0</v>
      </c>
      <c r="D71" s="14">
        <v>0</v>
      </c>
      <c r="E71" s="14">
        <v>1</v>
      </c>
      <c r="F71" s="14">
        <v>1388.29</v>
      </c>
      <c r="G71" s="16">
        <f t="shared" si="52"/>
        <v>0.57958563024523613</v>
      </c>
      <c r="H71" s="14">
        <f t="shared" si="45"/>
        <v>7.23582805296072</v>
      </c>
      <c r="I71" s="17">
        <v>341537</v>
      </c>
      <c r="J71" s="15">
        <v>1773</v>
      </c>
      <c r="K71" s="14">
        <f t="shared" si="46"/>
        <v>0.51912384309752679</v>
      </c>
      <c r="L71" s="16">
        <f t="shared" si="53"/>
        <v>1.6496745719530881</v>
      </c>
      <c r="M71" s="14">
        <v>1.0341430614279774</v>
      </c>
      <c r="N71" s="16">
        <f t="shared" si="54"/>
        <v>0.31181115562449047</v>
      </c>
      <c r="O71" s="14">
        <v>1.48</v>
      </c>
      <c r="P71" s="17">
        <v>0.27</v>
      </c>
      <c r="Q71" s="14">
        <v>3771</v>
      </c>
      <c r="R71" s="14">
        <f>[1]Feuil1!J105/panel_choc_taux_suisse_2014_202!Q71</f>
        <v>215616.10755546717</v>
      </c>
      <c r="S71" s="14">
        <v>38.200000000000003</v>
      </c>
      <c r="T71" s="17">
        <f t="shared" si="47"/>
        <v>2.6817101481674643</v>
      </c>
      <c r="U71" s="17">
        <f t="shared" si="48"/>
        <v>-0.25426987543135521</v>
      </c>
      <c r="V71" s="14">
        <v>95632.013519999993</v>
      </c>
      <c r="W71" s="16">
        <f t="shared" si="55"/>
        <v>0.39922907019076276</v>
      </c>
      <c r="X71" s="14">
        <f t="shared" si="49"/>
        <v>11.468262912439297</v>
      </c>
      <c r="Y71" s="14">
        <v>2.1</v>
      </c>
      <c r="Z71" s="16">
        <f t="shared" si="56"/>
        <v>-0.37338004336983804</v>
      </c>
      <c r="AA71" s="14">
        <f t="shared" si="57"/>
        <v>0.74193734472937733</v>
      </c>
      <c r="AB71" s="14">
        <v>57524</v>
      </c>
      <c r="AC71" s="17">
        <v>1803</v>
      </c>
      <c r="AD71" s="14">
        <f t="shared" si="50"/>
        <v>5.2790766446973534E-3</v>
      </c>
      <c r="AE71" s="14">
        <f t="shared" si="51"/>
        <v>1.2137201363680545</v>
      </c>
      <c r="AF71" s="14">
        <f t="shared" si="58"/>
        <v>0.32770443681937472</v>
      </c>
      <c r="AG71" s="14">
        <f t="shared" si="59"/>
        <v>0.28345146364749013</v>
      </c>
      <c r="AH71" s="14">
        <f t="shared" si="60"/>
        <v>3.3755219661131162</v>
      </c>
      <c r="AI71" s="14">
        <f t="shared" si="41"/>
        <v>0.1030669577565666</v>
      </c>
      <c r="AJ71" s="14">
        <f t="shared" si="42"/>
        <v>-6.449477170521789E-2</v>
      </c>
      <c r="AK71" s="14">
        <f t="shared" si="43"/>
        <v>-0.19999999999999973</v>
      </c>
      <c r="AL71" s="14">
        <f t="shared" si="44"/>
        <v>0.15700374883789792</v>
      </c>
    </row>
    <row r="72" spans="1:38" ht="17.25" customHeight="1" x14ac:dyDescent="0.2">
      <c r="A72" s="19" t="s">
        <v>18</v>
      </c>
      <c r="B72" s="19">
        <v>2014</v>
      </c>
      <c r="C72" s="14">
        <v>0</v>
      </c>
      <c r="D72" s="14">
        <v>0</v>
      </c>
      <c r="E72" s="14">
        <v>1</v>
      </c>
      <c r="F72" s="14">
        <v>1402.17</v>
      </c>
      <c r="G72" s="16">
        <f t="shared" si="52"/>
        <v>0.64994390302434024</v>
      </c>
      <c r="H72" s="14">
        <f t="shared" si="45"/>
        <v>7.2457763155932007</v>
      </c>
      <c r="I72" s="17">
        <v>477385</v>
      </c>
      <c r="J72" s="15">
        <v>-1861</v>
      </c>
      <c r="K72" s="14">
        <f t="shared" si="46"/>
        <v>-0.38983210616169339</v>
      </c>
      <c r="L72" s="16">
        <f t="shared" si="53"/>
        <v>-1.1626207547996563</v>
      </c>
      <c r="M72" s="14">
        <v>1.0281149308624065</v>
      </c>
      <c r="N72" s="16">
        <f t="shared" si="54"/>
        <v>6.0154245243822686E-2</v>
      </c>
      <c r="O72" s="14">
        <v>1.95</v>
      </c>
      <c r="P72" s="17">
        <v>0</v>
      </c>
      <c r="Q72" s="14">
        <v>7019</v>
      </c>
      <c r="R72" s="14">
        <f>[1]Feuil1!J106/panel_choc_taux_suisse_2014_202!Q72</f>
        <v>90441.990786911716</v>
      </c>
      <c r="S72" s="14">
        <v>46.6</v>
      </c>
      <c r="T72" s="17">
        <f t="shared" si="47"/>
        <v>0.57671960770759778</v>
      </c>
      <c r="U72" s="17">
        <f t="shared" si="48"/>
        <v>0.59381413181067533</v>
      </c>
      <c r="V72" s="14">
        <v>105579.3137</v>
      </c>
      <c r="W72" s="16">
        <f t="shared" si="55"/>
        <v>0.96360030567313915</v>
      </c>
      <c r="X72" s="14">
        <f t="shared" si="49"/>
        <v>11.567217738072335</v>
      </c>
      <c r="Y72" s="14">
        <v>5.5</v>
      </c>
      <c r="Z72" s="16">
        <f t="shared" si="56"/>
        <v>2.5553507315985495</v>
      </c>
      <c r="AA72" s="14">
        <f t="shared" si="57"/>
        <v>1.7047480922384253</v>
      </c>
      <c r="AB72" s="14">
        <v>77368</v>
      </c>
      <c r="AC72" s="17">
        <v>1589</v>
      </c>
      <c r="AD72" s="14">
        <f t="shared" si="50"/>
        <v>3.3285503314934486E-3</v>
      </c>
      <c r="AE72" s="14">
        <f t="shared" si="51"/>
        <v>0.58526686975913655</v>
      </c>
      <c r="AF72" s="14">
        <f t="shared" si="58"/>
        <v>0</v>
      </c>
      <c r="AG72" s="14">
        <f t="shared" si="59"/>
        <v>0</v>
      </c>
      <c r="AH72" s="14">
        <f t="shared" si="60"/>
        <v>5.5297297030243815E-3</v>
      </c>
      <c r="AI72" s="14">
        <v>0</v>
      </c>
      <c r="AJ72" s="14">
        <v>0</v>
      </c>
      <c r="AK72" s="14">
        <v>0</v>
      </c>
      <c r="AL72" s="14">
        <v>0</v>
      </c>
    </row>
    <row r="73" spans="1:38" ht="17.25" customHeight="1" x14ac:dyDescent="0.2">
      <c r="A73" s="19" t="s">
        <v>18</v>
      </c>
      <c r="B73" s="19">
        <v>2015</v>
      </c>
      <c r="C73" s="14">
        <v>0</v>
      </c>
      <c r="D73" s="14">
        <v>0</v>
      </c>
      <c r="E73" s="14">
        <v>1</v>
      </c>
      <c r="F73" s="14">
        <v>1365.83</v>
      </c>
      <c r="G73" s="16">
        <f t="shared" si="52"/>
        <v>0.46573499576262323</v>
      </c>
      <c r="H73" s="14">
        <f t="shared" si="45"/>
        <v>7.2195175814343893</v>
      </c>
      <c r="I73" s="17">
        <v>484736</v>
      </c>
      <c r="J73" s="15">
        <v>-1546</v>
      </c>
      <c r="K73" s="14">
        <f t="shared" si="46"/>
        <v>-0.3189364932664378</v>
      </c>
      <c r="L73" s="16">
        <f t="shared" si="53"/>
        <v>-0.94327085011495859</v>
      </c>
      <c r="M73" s="14">
        <v>1.0174024043472965</v>
      </c>
      <c r="N73" s="16">
        <f t="shared" si="54"/>
        <v>-0.38706256531446542</v>
      </c>
      <c r="O73" s="14">
        <v>1.84</v>
      </c>
      <c r="P73" s="17">
        <v>-0.10999999999999988</v>
      </c>
      <c r="Q73" s="14">
        <v>7279</v>
      </c>
      <c r="R73" s="14">
        <f>[1]Feuil1!J107/panel_choc_taux_suisse_2014_202!Q73</f>
        <v>90133.560572651913</v>
      </c>
      <c r="S73" s="14">
        <v>48.7</v>
      </c>
      <c r="T73" s="17">
        <f t="shared" si="47"/>
        <v>0.5715328909951537</v>
      </c>
      <c r="U73" s="17">
        <f t="shared" si="48"/>
        <v>0.80583513362118309</v>
      </c>
      <c r="V73" s="14">
        <v>106001.63099999999</v>
      </c>
      <c r="W73" s="16">
        <f t="shared" si="55"/>
        <v>0.98756095148191758</v>
      </c>
      <c r="X73" s="14">
        <f t="shared" si="49"/>
        <v>11.571209759768282</v>
      </c>
      <c r="Y73" s="14">
        <v>5.6</v>
      </c>
      <c r="Z73" s="16">
        <f t="shared" si="56"/>
        <v>2.6414898720387958</v>
      </c>
      <c r="AA73" s="14">
        <f t="shared" si="57"/>
        <v>1.7227665977411035</v>
      </c>
      <c r="AB73" s="14">
        <v>78820</v>
      </c>
      <c r="AC73" s="17">
        <v>2048</v>
      </c>
      <c r="AD73" s="14">
        <f t="shared" si="50"/>
        <v>4.224980195405334E-3</v>
      </c>
      <c r="AE73" s="14">
        <f t="shared" si="51"/>
        <v>0.68868401230816834</v>
      </c>
      <c r="AF73" s="14">
        <f t="shared" si="58"/>
        <v>-7.5755241353898425E-2</v>
      </c>
      <c r="AG73" s="14">
        <f t="shared" si="59"/>
        <v>-7.8778352108062957E-2</v>
      </c>
      <c r="AH73" s="14">
        <f t="shared" si="60"/>
        <v>-0.77350938770362998</v>
      </c>
      <c r="AI73" s="14">
        <f t="shared" ref="AI73:AI81" si="61">LN(F73)-LN(F72)</f>
        <v>-2.6258734158811414E-2</v>
      </c>
      <c r="AJ73" s="14">
        <f t="shared" ref="AJ73:AJ81" si="62">K73-K72</f>
        <v>7.0895612895255589E-2</v>
      </c>
      <c r="AK73" s="14">
        <f t="shared" ref="AK73:AK81" si="63">Y73-Y72</f>
        <v>9.9999999999999645E-2</v>
      </c>
      <c r="AL73" s="14">
        <f t="shared" ref="AL73:AL81" si="64">LN(V73)-LN(V72)</f>
        <v>3.9920216959465904E-3</v>
      </c>
    </row>
    <row r="74" spans="1:38" ht="17.25" customHeight="1" x14ac:dyDescent="0.2">
      <c r="A74" s="19" t="s">
        <v>18</v>
      </c>
      <c r="B74" s="19">
        <v>2016</v>
      </c>
      <c r="C74" s="14">
        <v>0</v>
      </c>
      <c r="D74" s="14">
        <v>0</v>
      </c>
      <c r="E74" s="14">
        <v>1</v>
      </c>
      <c r="F74" s="14">
        <v>1360.67</v>
      </c>
      <c r="G74" s="16">
        <f t="shared" si="52"/>
        <v>0.4395787502626114</v>
      </c>
      <c r="H74" s="14">
        <f t="shared" si="45"/>
        <v>7.2157325044781997</v>
      </c>
      <c r="I74" s="17">
        <v>489524</v>
      </c>
      <c r="J74" s="15">
        <v>-1669</v>
      </c>
      <c r="K74" s="14">
        <f t="shared" si="46"/>
        <v>-0.3409434471037171</v>
      </c>
      <c r="L74" s="16">
        <f t="shared" si="53"/>
        <v>-1.0113600171236383</v>
      </c>
      <c r="M74" s="14">
        <v>0.98347652295718835</v>
      </c>
      <c r="N74" s="16">
        <f t="shared" si="54"/>
        <v>-1.8033693953850858</v>
      </c>
      <c r="O74" s="14">
        <v>1.71</v>
      </c>
      <c r="P74" s="17">
        <v>-0.13000000000000012</v>
      </c>
      <c r="Q74" s="14">
        <v>7427</v>
      </c>
      <c r="R74" s="14">
        <f>[1]Feuil1!J108/panel_choc_taux_suisse_2014_202!Q74</f>
        <v>90963.119821821281</v>
      </c>
      <c r="S74" s="14">
        <v>50.4</v>
      </c>
      <c r="T74" s="17">
        <f t="shared" si="47"/>
        <v>0.58548317414739059</v>
      </c>
      <c r="U74" s="17">
        <f t="shared" si="48"/>
        <v>0.9774711827058794</v>
      </c>
      <c r="V74" s="14">
        <v>106743.6424</v>
      </c>
      <c r="W74" s="16">
        <f t="shared" si="55"/>
        <v>1.0296598007156008</v>
      </c>
      <c r="X74" s="14">
        <f t="shared" si="49"/>
        <v>11.578185373345447</v>
      </c>
      <c r="Y74" s="14">
        <v>5.5</v>
      </c>
      <c r="Z74" s="16">
        <f t="shared" si="56"/>
        <v>2.5553507315985495</v>
      </c>
      <c r="AA74" s="14">
        <f t="shared" si="57"/>
        <v>1.7047480922384253</v>
      </c>
      <c r="AB74" s="14">
        <v>79992</v>
      </c>
      <c r="AC74" s="17">
        <v>1989</v>
      </c>
      <c r="AD74" s="14">
        <f t="shared" si="50"/>
        <v>4.0631307147351303E-3</v>
      </c>
      <c r="AE74" s="14">
        <f t="shared" si="51"/>
        <v>0.781477178426635</v>
      </c>
      <c r="AF74" s="14">
        <f t="shared" si="58"/>
        <v>-0.10159203319546264</v>
      </c>
      <c r="AG74" s="14">
        <f t="shared" si="59"/>
        <v>-0.10713100782725615</v>
      </c>
      <c r="AH74" s="14">
        <f t="shared" si="60"/>
        <v>-1.0392054788670415</v>
      </c>
      <c r="AI74" s="14">
        <f t="shared" si="61"/>
        <v>-3.7850769561895703E-3</v>
      </c>
      <c r="AJ74" s="14">
        <f t="shared" si="62"/>
        <v>-2.2006953837279297E-2</v>
      </c>
      <c r="AK74" s="14">
        <f t="shared" si="63"/>
        <v>-9.9999999999999645E-2</v>
      </c>
      <c r="AL74" s="14">
        <f t="shared" si="64"/>
        <v>6.9756135771648076E-3</v>
      </c>
    </row>
    <row r="75" spans="1:38" ht="17.25" customHeight="1" x14ac:dyDescent="0.2">
      <c r="A75" s="19" t="s">
        <v>18</v>
      </c>
      <c r="B75" s="19">
        <v>2017</v>
      </c>
      <c r="C75" s="14">
        <v>0</v>
      </c>
      <c r="D75" s="14">
        <v>0</v>
      </c>
      <c r="E75" s="14">
        <v>1</v>
      </c>
      <c r="F75" s="14">
        <v>1369.83</v>
      </c>
      <c r="G75" s="16">
        <f t="shared" si="52"/>
        <v>0.48601115506495851</v>
      </c>
      <c r="H75" s="14">
        <f t="shared" si="45"/>
        <v>7.2224419235314272</v>
      </c>
      <c r="I75" s="17">
        <v>495249</v>
      </c>
      <c r="J75" s="15">
        <v>-1727</v>
      </c>
      <c r="K75" s="14">
        <f t="shared" si="46"/>
        <v>-0.34871347544366571</v>
      </c>
      <c r="L75" s="16">
        <f t="shared" si="53"/>
        <v>-1.0354003618806997</v>
      </c>
      <c r="M75" s="14">
        <v>1.0635156673797794</v>
      </c>
      <c r="N75" s="16">
        <f t="shared" si="54"/>
        <v>1.5380319853253162</v>
      </c>
      <c r="O75" s="14">
        <v>1.56</v>
      </c>
      <c r="P75" s="17">
        <v>-0.14999999999999991</v>
      </c>
      <c r="Q75" s="14">
        <v>7583</v>
      </c>
      <c r="R75" s="14">
        <f>[1]Feuil1!J109/panel_choc_taux_suisse_2014_202!Q75</f>
        <v>91305.882799243904</v>
      </c>
      <c r="S75" s="14">
        <v>50.4</v>
      </c>
      <c r="T75" s="17">
        <f t="shared" si="47"/>
        <v>0.59124724777315896</v>
      </c>
      <c r="U75" s="17">
        <f t="shared" si="48"/>
        <v>0.9774711827058794</v>
      </c>
      <c r="V75" s="14">
        <v>107170.617</v>
      </c>
      <c r="W75" s="16">
        <f t="shared" si="55"/>
        <v>1.0538846836648548</v>
      </c>
      <c r="X75" s="14">
        <f t="shared" si="49"/>
        <v>11.582177394898643</v>
      </c>
      <c r="Y75" s="14">
        <v>5</v>
      </c>
      <c r="Z75" s="16">
        <f t="shared" si="56"/>
        <v>2.1246550293973159</v>
      </c>
      <c r="AA75" s="14">
        <f t="shared" si="57"/>
        <v>1.6094379124341003</v>
      </c>
      <c r="AB75" s="14">
        <v>81286</v>
      </c>
      <c r="AC75" s="17">
        <v>1977</v>
      </c>
      <c r="AD75" s="14">
        <f t="shared" si="50"/>
        <v>3.9919313315120277E-3</v>
      </c>
      <c r="AE75" s="14">
        <f t="shared" si="51"/>
        <v>0.78435921523951913</v>
      </c>
      <c r="AF75" s="14">
        <f t="shared" si="58"/>
        <v>-0.1176538822859278</v>
      </c>
      <c r="AG75" s="14">
        <f t="shared" si="59"/>
        <v>-0.12517087624129261</v>
      </c>
      <c r="AH75" s="14">
        <f t="shared" si="60"/>
        <v>-1.2043796439244792</v>
      </c>
      <c r="AI75" s="14">
        <f t="shared" si="61"/>
        <v>6.7094190532275277E-3</v>
      </c>
      <c r="AJ75" s="14">
        <f t="shared" si="62"/>
        <v>-7.7700283399486092E-3</v>
      </c>
      <c r="AK75" s="14">
        <f t="shared" si="63"/>
        <v>-0.5</v>
      </c>
      <c r="AL75" s="14">
        <f t="shared" si="64"/>
        <v>3.9920215531967784E-3</v>
      </c>
    </row>
    <row r="76" spans="1:38" ht="17.25" customHeight="1" x14ac:dyDescent="0.2">
      <c r="A76" s="19" t="s">
        <v>18</v>
      </c>
      <c r="B76" s="19">
        <v>2018</v>
      </c>
      <c r="C76" s="14">
        <v>0</v>
      </c>
      <c r="D76" s="14">
        <v>0</v>
      </c>
      <c r="E76" s="14">
        <v>1</v>
      </c>
      <c r="F76" s="14">
        <v>1384</v>
      </c>
      <c r="G76" s="16">
        <f t="shared" si="52"/>
        <v>0.55783944939348173</v>
      </c>
      <c r="H76" s="14">
        <f t="shared" si="45"/>
        <v>7.2327331361776146</v>
      </c>
      <c r="I76" s="17">
        <v>499480</v>
      </c>
      <c r="J76" s="15">
        <v>-1978</v>
      </c>
      <c r="K76" s="14">
        <f t="shared" si="46"/>
        <v>-0.39601185232641944</v>
      </c>
      <c r="L76" s="16">
        <f t="shared" si="53"/>
        <v>-1.1817407916658444</v>
      </c>
      <c r="M76" s="14">
        <v>1.0301138707197743</v>
      </c>
      <c r="N76" s="16">
        <f t="shared" si="54"/>
        <v>0.14360416774800241</v>
      </c>
      <c r="O76" s="14">
        <v>1.5</v>
      </c>
      <c r="P76" s="17">
        <v>-6.0000000000000053E-2</v>
      </c>
      <c r="Q76" s="14">
        <v>7141</v>
      </c>
      <c r="R76" s="14">
        <f>[1]Feuil1!J110/panel_choc_taux_suisse_2014_202!Q76</f>
        <v>99543.360904168425</v>
      </c>
      <c r="S76" s="14">
        <v>47.1</v>
      </c>
      <c r="T76" s="17">
        <f t="shared" si="47"/>
        <v>0.72977279870772127</v>
      </c>
      <c r="U76" s="17">
        <f t="shared" si="48"/>
        <v>0.64429532271793899</v>
      </c>
      <c r="V76" s="14">
        <v>107706.47</v>
      </c>
      <c r="W76" s="16">
        <f t="shared" si="55"/>
        <v>1.0842869047876258</v>
      </c>
      <c r="X76" s="14">
        <f t="shared" si="49"/>
        <v>11.587164935620502</v>
      </c>
      <c r="Y76" s="14">
        <v>4.3</v>
      </c>
      <c r="Z76" s="16">
        <f t="shared" si="56"/>
        <v>1.521681046315589</v>
      </c>
      <c r="AA76" s="14">
        <f t="shared" si="57"/>
        <v>1.4586150226995167</v>
      </c>
      <c r="AB76" s="14">
        <v>81957</v>
      </c>
      <c r="AC76" s="17">
        <v>2675</v>
      </c>
      <c r="AD76" s="14">
        <f t="shared" si="50"/>
        <v>5.3555697925842874E-3</v>
      </c>
      <c r="AE76" s="14">
        <f t="shared" si="51"/>
        <v>0.68703406071283013</v>
      </c>
      <c r="AF76" s="14">
        <f t="shared" si="58"/>
        <v>-4.1222043642769844E-2</v>
      </c>
      <c r="AG76" s="14">
        <f t="shared" si="59"/>
        <v>-4.2095767552670096E-2</v>
      </c>
      <c r="AH76" s="14">
        <f t="shared" si="60"/>
        <v>-0.4183826481500153</v>
      </c>
      <c r="AI76" s="14">
        <f t="shared" si="61"/>
        <v>1.0291212646187375E-2</v>
      </c>
      <c r="AJ76" s="14">
        <f t="shared" si="62"/>
        <v>-4.7298376882753734E-2</v>
      </c>
      <c r="AK76" s="14">
        <f t="shared" si="63"/>
        <v>-0.70000000000000018</v>
      </c>
      <c r="AL76" s="14">
        <f t="shared" si="64"/>
        <v>4.9875407218582524E-3</v>
      </c>
    </row>
    <row r="77" spans="1:38" ht="17.25" customHeight="1" x14ac:dyDescent="0.2">
      <c r="A77" s="19" t="s">
        <v>18</v>
      </c>
      <c r="B77" s="19">
        <v>2019</v>
      </c>
      <c r="C77" s="14">
        <v>0</v>
      </c>
      <c r="D77" s="14">
        <v>0</v>
      </c>
      <c r="E77" s="14">
        <v>1</v>
      </c>
      <c r="F77" s="14">
        <v>1413.83</v>
      </c>
      <c r="G77" s="16">
        <f t="shared" si="52"/>
        <v>0.70904890739064697</v>
      </c>
      <c r="H77" s="14">
        <f t="shared" si="45"/>
        <v>7.2540576129204108</v>
      </c>
      <c r="I77" s="17">
        <v>504128</v>
      </c>
      <c r="J77" s="15">
        <v>-1874</v>
      </c>
      <c r="K77" s="14">
        <f t="shared" si="46"/>
        <v>-0.37173098895518597</v>
      </c>
      <c r="L77" s="16">
        <f t="shared" si="53"/>
        <v>-1.1066161845337907</v>
      </c>
      <c r="M77" s="14">
        <v>1.036888899675622</v>
      </c>
      <c r="N77" s="16">
        <f t="shared" si="54"/>
        <v>0.42644191258817377</v>
      </c>
      <c r="O77" s="14">
        <v>1.43</v>
      </c>
      <c r="P77" s="17">
        <v>-7.0000000000000062E-2</v>
      </c>
      <c r="Q77" s="14">
        <v>6844</v>
      </c>
      <c r="R77" s="14">
        <f>[1]Feuil1!J111/panel_choc_taux_suisse_2014_202!Q77</f>
        <v>106687.13518897329</v>
      </c>
      <c r="S77" s="14">
        <v>44.4</v>
      </c>
      <c r="T77" s="17">
        <f t="shared" si="47"/>
        <v>0.84990607930037676</v>
      </c>
      <c r="U77" s="17">
        <f t="shared" si="48"/>
        <v>0.37169689181871463</v>
      </c>
      <c r="V77" s="14">
        <v>108676</v>
      </c>
      <c r="W77" s="16">
        <f t="shared" si="55"/>
        <v>1.1392942770430017</v>
      </c>
      <c r="X77" s="14">
        <f t="shared" si="49"/>
        <v>11.59612625756299</v>
      </c>
      <c r="Y77" s="14">
        <v>3.9</v>
      </c>
      <c r="Z77" s="16">
        <f t="shared" si="56"/>
        <v>1.1771244845546023</v>
      </c>
      <c r="AA77" s="14">
        <f t="shared" si="57"/>
        <v>1.3609765531356006</v>
      </c>
      <c r="AB77" s="14">
        <v>82755</v>
      </c>
      <c r="AC77" s="17">
        <v>2081</v>
      </c>
      <c r="AD77" s="14">
        <f t="shared" si="50"/>
        <v>4.1279198933604168E-3</v>
      </c>
      <c r="AE77" s="14">
        <f t="shared" si="51"/>
        <v>0.61080148555954572</v>
      </c>
      <c r="AF77" s="14">
        <f t="shared" si="58"/>
        <v>-4.2756103989168237E-2</v>
      </c>
      <c r="AG77" s="14">
        <f t="shared" si="59"/>
        <v>-4.3697065233382494E-2</v>
      </c>
      <c r="AH77" s="14">
        <f t="shared" si="60"/>
        <v>-0.43415836210654213</v>
      </c>
      <c r="AI77" s="14">
        <f t="shared" si="61"/>
        <v>2.132447674279625E-2</v>
      </c>
      <c r="AJ77" s="14">
        <f t="shared" si="62"/>
        <v>2.4280863371233474E-2</v>
      </c>
      <c r="AK77" s="14">
        <f t="shared" si="63"/>
        <v>-0.39999999999999991</v>
      </c>
      <c r="AL77" s="14">
        <f t="shared" si="64"/>
        <v>8.9613219424879986E-3</v>
      </c>
    </row>
    <row r="78" spans="1:38" ht="17.25" customHeight="1" x14ac:dyDescent="0.2">
      <c r="A78" s="19" t="s">
        <v>18</v>
      </c>
      <c r="B78" s="19">
        <v>2020</v>
      </c>
      <c r="C78" s="14">
        <v>0</v>
      </c>
      <c r="D78" s="14">
        <v>0</v>
      </c>
      <c r="E78" s="14">
        <v>1</v>
      </c>
      <c r="F78" s="14">
        <v>1417.17</v>
      </c>
      <c r="G78" s="16">
        <f t="shared" si="52"/>
        <v>0.72597950040809767</v>
      </c>
      <c r="H78" s="14">
        <f t="shared" si="45"/>
        <v>7.2564172042659907</v>
      </c>
      <c r="I78" s="17">
        <v>506343</v>
      </c>
      <c r="J78" s="15">
        <v>-2649</v>
      </c>
      <c r="K78" s="14">
        <f t="shared" si="46"/>
        <v>-0.52316315225054955</v>
      </c>
      <c r="L78" s="16">
        <f t="shared" si="53"/>
        <v>-1.5751449020174995</v>
      </c>
      <c r="M78" s="14">
        <v>1.0413346451454319</v>
      </c>
      <c r="N78" s="16">
        <f t="shared" si="54"/>
        <v>0.61203884966534006</v>
      </c>
      <c r="O78" s="14">
        <v>1.33</v>
      </c>
      <c r="P78" s="17">
        <v>-9.9999999999999867E-2</v>
      </c>
      <c r="Q78" s="14">
        <v>7615</v>
      </c>
      <c r="R78" s="14">
        <f>[1]Feuil1!J112/panel_choc_taux_suisse_2014_202!Q78</f>
        <v>98413.232728168092</v>
      </c>
      <c r="S78" s="14">
        <v>48</v>
      </c>
      <c r="T78" s="17">
        <f t="shared" si="47"/>
        <v>0.71076799818345304</v>
      </c>
      <c r="U78" s="17">
        <f t="shared" si="48"/>
        <v>0.73516146635101365</v>
      </c>
      <c r="V78" s="14">
        <v>109545.2349</v>
      </c>
      <c r="W78" s="16">
        <f t="shared" si="55"/>
        <v>1.1886112942798734</v>
      </c>
      <c r="X78" s="14">
        <f t="shared" si="49"/>
        <v>11.604092847044271</v>
      </c>
      <c r="Y78" s="14">
        <v>4.9000000000000004</v>
      </c>
      <c r="Z78" s="16">
        <f t="shared" si="56"/>
        <v>2.0385158889570696</v>
      </c>
      <c r="AA78" s="14">
        <f t="shared" si="57"/>
        <v>1.589235205116581</v>
      </c>
      <c r="AB78" s="14">
        <v>82913</v>
      </c>
      <c r="AC78" s="17">
        <v>2345</v>
      </c>
      <c r="AD78" s="14">
        <f t="shared" si="50"/>
        <v>4.6312479880239281E-3</v>
      </c>
      <c r="AE78" s="14">
        <f t="shared" si="51"/>
        <v>0.72296473226723335</v>
      </c>
      <c r="AF78" s="14">
        <f t="shared" si="58"/>
        <v>-7.2296473226723237E-2</v>
      </c>
      <c r="AG78" s="14">
        <f t="shared" si="59"/>
        <v>-7.5043072698923963E-2</v>
      </c>
      <c r="AH78" s="14">
        <f t="shared" si="60"/>
        <v>-0.73794068485281183</v>
      </c>
      <c r="AI78" s="14">
        <f t="shared" si="61"/>
        <v>2.3595913455798367E-3</v>
      </c>
      <c r="AJ78" s="14">
        <f t="shared" si="62"/>
        <v>-0.15143216329536358</v>
      </c>
      <c r="AK78" s="14">
        <f t="shared" si="63"/>
        <v>1.0000000000000004</v>
      </c>
      <c r="AL78" s="14">
        <f t="shared" si="64"/>
        <v>7.966589481281261E-3</v>
      </c>
    </row>
    <row r="79" spans="1:38" ht="17.25" customHeight="1" x14ac:dyDescent="0.2">
      <c r="A79" s="19" t="s">
        <v>18</v>
      </c>
      <c r="B79" s="19">
        <v>2021</v>
      </c>
      <c r="C79" s="14">
        <v>0</v>
      </c>
      <c r="D79" s="14">
        <v>0</v>
      </c>
      <c r="E79" s="14">
        <v>1</v>
      </c>
      <c r="F79" s="14">
        <v>1432.83</v>
      </c>
      <c r="G79" s="16">
        <f t="shared" si="52"/>
        <v>0.80536066407673967</v>
      </c>
      <c r="H79" s="14">
        <f t="shared" si="45"/>
        <v>7.2674067885507556</v>
      </c>
      <c r="I79" s="17">
        <v>509448</v>
      </c>
      <c r="J79" s="15">
        <v>-3244</v>
      </c>
      <c r="K79" s="14">
        <f t="shared" si="46"/>
        <v>-0.63676763869914099</v>
      </c>
      <c r="L79" s="16">
        <f t="shared" si="53"/>
        <v>-1.9266353857949545</v>
      </c>
      <c r="M79" s="14">
        <v>1.0457435779736526</v>
      </c>
      <c r="N79" s="16">
        <f t="shared" si="54"/>
        <v>0.79609896607405228</v>
      </c>
      <c r="O79" s="14">
        <v>1.25</v>
      </c>
      <c r="P79" s="17">
        <v>-8.0000000000000071E-2</v>
      </c>
      <c r="Q79" s="14">
        <v>7182</v>
      </c>
      <c r="R79" s="14">
        <f>[1]Feuil1!J113/panel_choc_taux_suisse_2014_202!Q79</f>
        <v>107651.04233500415</v>
      </c>
      <c r="S79" s="14">
        <v>48.4</v>
      </c>
      <c r="T79" s="17">
        <f t="shared" si="47"/>
        <v>0.86611562386643304</v>
      </c>
      <c r="U79" s="17">
        <f t="shared" si="48"/>
        <v>0.77554641907682442</v>
      </c>
      <c r="V79" s="14">
        <v>109326.1444</v>
      </c>
      <c r="W79" s="16">
        <f t="shared" si="55"/>
        <v>1.1761809489670765</v>
      </c>
      <c r="X79" s="14">
        <f t="shared" si="49"/>
        <v>11.60209084409736</v>
      </c>
      <c r="Y79" s="14">
        <v>5</v>
      </c>
      <c r="Z79" s="16">
        <f t="shared" si="56"/>
        <v>2.1246550293973159</v>
      </c>
      <c r="AA79" s="14">
        <f t="shared" si="57"/>
        <v>1.6094379124341003</v>
      </c>
      <c r="AB79" s="14">
        <v>84094</v>
      </c>
      <c r="AC79" s="17">
        <v>3229</v>
      </c>
      <c r="AD79" s="14">
        <f t="shared" si="50"/>
        <v>6.3382327538826335E-3</v>
      </c>
      <c r="AE79" s="14">
        <f t="shared" si="51"/>
        <v>0.82083102147162879</v>
      </c>
      <c r="AF79" s="14">
        <f t="shared" si="58"/>
        <v>-6.566648171773036E-2</v>
      </c>
      <c r="AG79" s="14">
        <f t="shared" si="59"/>
        <v>-6.792181853799005E-2</v>
      </c>
      <c r="AH79" s="14">
        <f t="shared" si="60"/>
        <v>-0.66976028384992303</v>
      </c>
      <c r="AI79" s="14">
        <f t="shared" si="61"/>
        <v>1.0989584284764931E-2</v>
      </c>
      <c r="AJ79" s="14">
        <f t="shared" si="62"/>
        <v>-0.11360448644859145</v>
      </c>
      <c r="AK79" s="14">
        <f t="shared" si="63"/>
        <v>9.9999999999999645E-2</v>
      </c>
      <c r="AL79" s="14">
        <f t="shared" si="64"/>
        <v>-2.0020029469112188E-3</v>
      </c>
    </row>
    <row r="80" spans="1:38" ht="17.25" customHeight="1" x14ac:dyDescent="0.2">
      <c r="A80" s="19" t="s">
        <v>18</v>
      </c>
      <c r="B80" s="19">
        <v>2022</v>
      </c>
      <c r="C80" s="14">
        <v>0</v>
      </c>
      <c r="D80" s="14">
        <v>0</v>
      </c>
      <c r="E80" s="14">
        <v>1</v>
      </c>
      <c r="F80" s="14">
        <v>1453.83</v>
      </c>
      <c r="G80" s="16">
        <f t="shared" si="52"/>
        <v>0.91181050041400002</v>
      </c>
      <c r="H80" s="14">
        <f t="shared" si="45"/>
        <v>7.2819567324133567</v>
      </c>
      <c r="I80" s="17">
        <v>514114</v>
      </c>
      <c r="J80" s="15">
        <v>-2157</v>
      </c>
      <c r="K80" s="14">
        <f t="shared" si="46"/>
        <v>-0.41955675200441922</v>
      </c>
      <c r="L80" s="16">
        <f t="shared" si="53"/>
        <v>-1.2545883387744419</v>
      </c>
      <c r="M80" s="14">
        <v>0.98600652141555722</v>
      </c>
      <c r="N80" s="16">
        <f t="shared" si="54"/>
        <v>-1.6977493215702677</v>
      </c>
      <c r="O80" s="14">
        <v>1.21</v>
      </c>
      <c r="P80" s="17">
        <v>-4.0000000000000036E-2</v>
      </c>
      <c r="Q80" s="14">
        <v>7513</v>
      </c>
      <c r="R80" s="14">
        <f>[1]Feuil1!J114/panel_choc_taux_suisse_2014_202!Q80</f>
        <v>105967.32296907583</v>
      </c>
      <c r="S80" s="14">
        <v>47</v>
      </c>
      <c r="T80" s="17">
        <f t="shared" si="47"/>
        <v>0.8378013570709949</v>
      </c>
      <c r="U80" s="17">
        <f t="shared" si="48"/>
        <v>0.6341990845364861</v>
      </c>
      <c r="V80" s="14">
        <v>110310.0797</v>
      </c>
      <c r="W80" s="16">
        <f t="shared" si="55"/>
        <v>1.2320056220791049</v>
      </c>
      <c r="X80" s="14">
        <f t="shared" si="49"/>
        <v>11.611050585472459</v>
      </c>
      <c r="Y80" s="14">
        <v>3.9</v>
      </c>
      <c r="Z80" s="16">
        <f t="shared" si="56"/>
        <v>1.1771244845546023</v>
      </c>
      <c r="AA80" s="14">
        <f t="shared" si="57"/>
        <v>1.3609765531356006</v>
      </c>
      <c r="AB80" s="14">
        <v>84870</v>
      </c>
      <c r="AC80" s="17">
        <v>3299</v>
      </c>
      <c r="AD80" s="14">
        <f t="shared" si="50"/>
        <v>6.4168647420610996E-3</v>
      </c>
      <c r="AE80" s="14">
        <f t="shared" si="51"/>
        <v>0.7360002208037405</v>
      </c>
      <c r="AF80" s="14">
        <f t="shared" si="58"/>
        <v>-2.9440008832149644E-2</v>
      </c>
      <c r="AG80" s="14">
        <f t="shared" si="59"/>
        <v>-2.9882063581976023E-2</v>
      </c>
      <c r="AH80" s="14">
        <f t="shared" si="60"/>
        <v>-0.29722052344314581</v>
      </c>
      <c r="AI80" s="14">
        <f t="shared" si="61"/>
        <v>1.4549943862601111E-2</v>
      </c>
      <c r="AJ80" s="14">
        <f t="shared" si="62"/>
        <v>0.21721088669472177</v>
      </c>
      <c r="AK80" s="14">
        <f t="shared" si="63"/>
        <v>-1.1000000000000001</v>
      </c>
      <c r="AL80" s="14">
        <f t="shared" si="64"/>
        <v>8.9597413750990285E-3</v>
      </c>
    </row>
    <row r="81" spans="1:38" ht="17.25" customHeight="1" x14ac:dyDescent="0.2">
      <c r="A81" s="19" t="s">
        <v>18</v>
      </c>
      <c r="B81" s="19">
        <v>2023</v>
      </c>
      <c r="C81" s="14">
        <v>0</v>
      </c>
      <c r="D81" s="14">
        <v>0</v>
      </c>
      <c r="E81" s="14">
        <v>1</v>
      </c>
      <c r="F81" s="14">
        <v>1668.86</v>
      </c>
      <c r="G81" s="16">
        <f t="shared" si="52"/>
        <v>2.0018061341092905</v>
      </c>
      <c r="H81" s="14">
        <f t="shared" si="45"/>
        <v>7.4198960375790861</v>
      </c>
      <c r="I81" s="17">
        <v>524410</v>
      </c>
      <c r="J81" s="15">
        <v>-1564</v>
      </c>
      <c r="K81" s="14">
        <f t="shared" si="46"/>
        <v>-0.29823992677485173</v>
      </c>
      <c r="L81" s="16">
        <f t="shared" si="53"/>
        <v>-0.87923600082270115</v>
      </c>
      <c r="M81" s="14">
        <v>1.0341430614279774</v>
      </c>
      <c r="N81" s="16">
        <f t="shared" si="54"/>
        <v>0.31181115562449047</v>
      </c>
      <c r="O81" s="14">
        <v>1.48</v>
      </c>
      <c r="P81" s="17">
        <v>0.27</v>
      </c>
      <c r="Q81" s="14">
        <v>7603</v>
      </c>
      <c r="R81" s="14">
        <f>[1]Feuil1!J115/panel_choc_taux_suisse_2014_202!Q81</f>
        <v>106943.09372506467</v>
      </c>
      <c r="S81" s="14">
        <v>47.3</v>
      </c>
      <c r="T81" s="17">
        <f t="shared" si="47"/>
        <v>0.8542104060344613</v>
      </c>
      <c r="U81" s="17">
        <f t="shared" si="48"/>
        <v>0.6644877990808441</v>
      </c>
      <c r="V81" s="14">
        <v>129062.7933</v>
      </c>
      <c r="W81" s="16">
        <f t="shared" si="55"/>
        <v>2.2959618666446686</v>
      </c>
      <c r="X81" s="14">
        <f t="shared" si="49"/>
        <v>11.768054334677279</v>
      </c>
      <c r="Y81" s="14">
        <v>3.8</v>
      </c>
      <c r="Z81" s="16">
        <f t="shared" si="56"/>
        <v>1.0909853441143555</v>
      </c>
      <c r="AA81" s="14">
        <f t="shared" si="57"/>
        <v>1.33500106673234</v>
      </c>
      <c r="AB81" s="14">
        <v>86388</v>
      </c>
      <c r="AC81" s="17">
        <v>3443</v>
      </c>
      <c r="AD81" s="14">
        <f t="shared" si="50"/>
        <v>6.5654735798325739E-3</v>
      </c>
      <c r="AE81" s="14">
        <f t="shared" si="51"/>
        <v>0.75934910255765264</v>
      </c>
      <c r="AF81" s="14">
        <f t="shared" si="58"/>
        <v>0.20502425769056623</v>
      </c>
      <c r="AG81" s="14">
        <f t="shared" si="59"/>
        <v>0.18649969760353571</v>
      </c>
      <c r="AH81" s="14">
        <f t="shared" si="60"/>
        <v>2.1139239992434748</v>
      </c>
      <c r="AI81" s="14">
        <f t="shared" si="61"/>
        <v>0.13793930516572939</v>
      </c>
      <c r="AJ81" s="14">
        <f t="shared" si="62"/>
        <v>0.12131682522956749</v>
      </c>
      <c r="AK81" s="14">
        <f t="shared" si="63"/>
        <v>-0.10000000000000009</v>
      </c>
      <c r="AL81" s="14">
        <f t="shared" si="64"/>
        <v>0.15700374920482041</v>
      </c>
    </row>
    <row r="82" spans="1:38" ht="17.25" customHeight="1" x14ac:dyDescent="0.2">
      <c r="A82" s="19" t="s">
        <v>17</v>
      </c>
      <c r="B82" s="19">
        <v>2014</v>
      </c>
      <c r="C82" s="14">
        <v>1</v>
      </c>
      <c r="D82" s="14">
        <v>0</v>
      </c>
      <c r="E82" s="14">
        <v>0</v>
      </c>
      <c r="F82" s="14">
        <v>1057.17</v>
      </c>
      <c r="G82" s="16">
        <f t="shared" si="52"/>
        <v>-1.0988748368020802</v>
      </c>
      <c r="H82" s="14">
        <f t="shared" si="45"/>
        <v>6.9633508054830093</v>
      </c>
      <c r="I82" s="17">
        <v>39794</v>
      </c>
      <c r="J82" s="15">
        <v>-75</v>
      </c>
      <c r="K82" s="14">
        <f t="shared" si="46"/>
        <v>-0.18847062371211742</v>
      </c>
      <c r="L82" s="16">
        <f t="shared" si="53"/>
        <v>-0.53961151376607286</v>
      </c>
      <c r="M82" s="14">
        <v>1.0281149308624065</v>
      </c>
      <c r="N82" s="16">
        <f t="shared" si="54"/>
        <v>6.0154245243822686E-2</v>
      </c>
      <c r="O82" s="14">
        <v>1.95</v>
      </c>
      <c r="P82" s="17">
        <v>0</v>
      </c>
      <c r="Q82" s="14">
        <v>8405</v>
      </c>
      <c r="R82" s="14">
        <f>[1]Feuil1!J116/panel_choc_taux_suisse_2014_202!Q82</f>
        <v>75527.939718421578</v>
      </c>
      <c r="S82" s="14">
        <v>34.9</v>
      </c>
      <c r="T82" s="17">
        <f t="shared" si="47"/>
        <v>0.32591746722072779</v>
      </c>
      <c r="U82" s="17">
        <f t="shared" si="48"/>
        <v>-0.58744573541929623</v>
      </c>
      <c r="V82" s="14">
        <v>71286.228359999994</v>
      </c>
      <c r="W82" s="16">
        <f t="shared" si="55"/>
        <v>-0.98205636413878583</v>
      </c>
      <c r="X82" s="14">
        <f t="shared" si="49"/>
        <v>11.174458437115266</v>
      </c>
      <c r="Y82" s="14">
        <v>2.2000000000000002</v>
      </c>
      <c r="Z82" s="16">
        <f t="shared" si="56"/>
        <v>-0.28724090292959131</v>
      </c>
      <c r="AA82" s="14">
        <f t="shared" si="57"/>
        <v>0.78845736036427028</v>
      </c>
      <c r="AB82" s="14">
        <v>7280</v>
      </c>
      <c r="AC82" s="17">
        <v>130</v>
      </c>
      <c r="AD82" s="14">
        <f t="shared" si="50"/>
        <v>3.2668241443433682E-3</v>
      </c>
      <c r="AE82" s="14">
        <f t="shared" si="51"/>
        <v>-0.13076413409928422</v>
      </c>
      <c r="AF82" s="14">
        <f t="shared" si="58"/>
        <v>0</v>
      </c>
      <c r="AG82" s="14">
        <f t="shared" si="59"/>
        <v>0</v>
      </c>
      <c r="AH82" s="14">
        <f t="shared" si="60"/>
        <v>5.5297297030243815E-3</v>
      </c>
      <c r="AI82" s="14">
        <v>0</v>
      </c>
      <c r="AJ82" s="14">
        <v>0</v>
      </c>
      <c r="AK82" s="14">
        <v>0</v>
      </c>
      <c r="AL82" s="14">
        <v>0</v>
      </c>
    </row>
    <row r="83" spans="1:38" ht="17.25" customHeight="1" x14ac:dyDescent="0.2">
      <c r="A83" s="19" t="s">
        <v>17</v>
      </c>
      <c r="B83" s="19">
        <v>2015</v>
      </c>
      <c r="C83" s="14">
        <v>1</v>
      </c>
      <c r="D83" s="14">
        <v>0</v>
      </c>
      <c r="E83" s="14">
        <v>0</v>
      </c>
      <c r="F83" s="14">
        <v>1092.5999999999999</v>
      </c>
      <c r="G83" s="16">
        <f t="shared" si="52"/>
        <v>-0.91927875578164608</v>
      </c>
      <c r="H83" s="14">
        <f t="shared" si="45"/>
        <v>6.996315455961617</v>
      </c>
      <c r="I83" s="17">
        <v>40028</v>
      </c>
      <c r="J83" s="15">
        <v>-124</v>
      </c>
      <c r="K83" s="14">
        <f t="shared" si="46"/>
        <v>-0.30978315179374438</v>
      </c>
      <c r="L83" s="16">
        <f t="shared" si="53"/>
        <v>-0.91495055641006906</v>
      </c>
      <c r="M83" s="14">
        <v>1.0174024043472965</v>
      </c>
      <c r="N83" s="16">
        <f t="shared" si="54"/>
        <v>-0.38706256531446542</v>
      </c>
      <c r="O83" s="14">
        <v>1.84</v>
      </c>
      <c r="P83" s="17">
        <v>-0.10999999999999988</v>
      </c>
      <c r="Q83" s="14">
        <v>8010</v>
      </c>
      <c r="R83" s="14">
        <f>[1]Feuil1!J117/panel_choc_taux_suisse_2014_202!Q83</f>
        <v>81907.888565335001</v>
      </c>
      <c r="S83" s="14">
        <v>34.200000000000003</v>
      </c>
      <c r="T83" s="17">
        <f t="shared" si="47"/>
        <v>0.43320587730155868</v>
      </c>
      <c r="U83" s="17">
        <f t="shared" si="48"/>
        <v>-0.65811940268946501</v>
      </c>
      <c r="V83" s="14">
        <v>71571.373269999996</v>
      </c>
      <c r="W83" s="16">
        <f t="shared" si="55"/>
        <v>-0.96587834776889958</v>
      </c>
      <c r="X83" s="14">
        <f t="shared" si="49"/>
        <v>11.178450458336739</v>
      </c>
      <c r="Y83" s="14">
        <v>2.1</v>
      </c>
      <c r="Z83" s="16">
        <f t="shared" si="56"/>
        <v>-0.37338004336983804</v>
      </c>
      <c r="AA83" s="14">
        <f t="shared" si="57"/>
        <v>0.74193734472937733</v>
      </c>
      <c r="AB83" s="14">
        <v>7483</v>
      </c>
      <c r="AC83" s="17">
        <v>176</v>
      </c>
      <c r="AD83" s="14">
        <f t="shared" si="50"/>
        <v>4.3969221544918561E-3</v>
      </c>
      <c r="AE83" s="14">
        <f t="shared" si="51"/>
        <v>-0.11245676269395316</v>
      </c>
      <c r="AF83" s="14">
        <f t="shared" si="58"/>
        <v>1.2370243896334834E-2</v>
      </c>
      <c r="AG83" s="14">
        <f t="shared" si="59"/>
        <v>1.2294357609649675E-2</v>
      </c>
      <c r="AH83" s="14">
        <f t="shared" si="60"/>
        <v>0.1327407809105039</v>
      </c>
      <c r="AI83" s="14">
        <f t="shared" ref="AI83:AI91" si="65">LN(F83)-LN(F82)</f>
        <v>3.2964650478607638E-2</v>
      </c>
      <c r="AJ83" s="14">
        <f t="shared" ref="AJ83:AJ91" si="66">K83-K82</f>
        <v>-0.12131252808162696</v>
      </c>
      <c r="AK83" s="14">
        <f t="shared" ref="AK83:AK91" si="67">Y83-Y82</f>
        <v>-0.10000000000000009</v>
      </c>
      <c r="AL83" s="14">
        <f t="shared" ref="AL83:AL91" si="68">LN(V83)-LN(V82)</f>
        <v>3.9920212214727968E-3</v>
      </c>
    </row>
    <row r="84" spans="1:38" ht="17.25" customHeight="1" x14ac:dyDescent="0.2">
      <c r="A84" s="19" t="s">
        <v>17</v>
      </c>
      <c r="B84" s="19">
        <v>2016</v>
      </c>
      <c r="C84" s="14">
        <v>1</v>
      </c>
      <c r="D84" s="14">
        <v>0</v>
      </c>
      <c r="E84" s="14">
        <v>0</v>
      </c>
      <c r="F84" s="14">
        <v>1025.5</v>
      </c>
      <c r="G84" s="16">
        <f t="shared" si="52"/>
        <v>-1.2594113280783206</v>
      </c>
      <c r="H84" s="14">
        <f t="shared" si="45"/>
        <v>6.9329355775124357</v>
      </c>
      <c r="I84" s="17">
        <v>40147</v>
      </c>
      <c r="J84" s="15">
        <v>-135</v>
      </c>
      <c r="K84" s="14">
        <f t="shared" si="46"/>
        <v>-0.33626422895857722</v>
      </c>
      <c r="L84" s="16">
        <f t="shared" si="53"/>
        <v>-0.99688259021075187</v>
      </c>
      <c r="M84" s="14">
        <v>0.98347652295718835</v>
      </c>
      <c r="N84" s="16">
        <f t="shared" si="54"/>
        <v>-1.8033693953850858</v>
      </c>
      <c r="O84" s="14">
        <v>1.71</v>
      </c>
      <c r="P84" s="17">
        <v>-0.13000000000000012</v>
      </c>
      <c r="Q84" s="14">
        <v>8222</v>
      </c>
      <c r="R84" s="14">
        <f>[1]Feuil1!J118/panel_choc_taux_suisse_2014_202!Q84</f>
        <v>82167.731806940719</v>
      </c>
      <c r="S84" s="14">
        <v>34.5</v>
      </c>
      <c r="T84" s="17">
        <f t="shared" si="47"/>
        <v>0.43757553118610576</v>
      </c>
      <c r="U84" s="17">
        <f t="shared" si="48"/>
        <v>-0.62783068814510712</v>
      </c>
      <c r="V84" s="14">
        <v>72072.372889999999</v>
      </c>
      <c r="W84" s="16">
        <f t="shared" si="55"/>
        <v>-0.93745357226206427</v>
      </c>
      <c r="X84" s="14">
        <f t="shared" si="49"/>
        <v>11.185426072171815</v>
      </c>
      <c r="Y84" s="14">
        <v>2.4</v>
      </c>
      <c r="Z84" s="16">
        <f t="shared" si="56"/>
        <v>-0.11496262204909814</v>
      </c>
      <c r="AA84" s="14">
        <f t="shared" si="57"/>
        <v>0.87546873735389985</v>
      </c>
      <c r="AB84" s="14">
        <v>7628</v>
      </c>
      <c r="AC84" s="17">
        <v>276</v>
      </c>
      <c r="AD84" s="14">
        <f t="shared" si="50"/>
        <v>6.8747353475975791E-3</v>
      </c>
      <c r="AE84" s="14">
        <f t="shared" si="51"/>
        <v>-9.512757847950068E-2</v>
      </c>
      <c r="AF84" s="14">
        <f t="shared" si="58"/>
        <v>1.2366585202335099E-2</v>
      </c>
      <c r="AG84" s="14">
        <f t="shared" si="59"/>
        <v>1.2290743615033498E-2</v>
      </c>
      <c r="AH84" s="14">
        <f t="shared" si="60"/>
        <v>0.13270315624330631</v>
      </c>
      <c r="AI84" s="14">
        <f t="shared" si="65"/>
        <v>-6.3379878449181248E-2</v>
      </c>
      <c r="AJ84" s="14">
        <f t="shared" si="66"/>
        <v>-2.6481077164832834E-2</v>
      </c>
      <c r="AK84" s="14">
        <f t="shared" si="67"/>
        <v>0.29999999999999982</v>
      </c>
      <c r="AL84" s="14">
        <f t="shared" si="68"/>
        <v>6.9756138350758334E-3</v>
      </c>
    </row>
    <row r="85" spans="1:38" ht="17.25" customHeight="1" x14ac:dyDescent="0.2">
      <c r="A85" s="19" t="s">
        <v>17</v>
      </c>
      <c r="B85" s="19">
        <v>2017</v>
      </c>
      <c r="C85" s="14">
        <v>1</v>
      </c>
      <c r="D85" s="14">
        <v>0</v>
      </c>
      <c r="E85" s="14">
        <v>0</v>
      </c>
      <c r="F85" s="14">
        <v>1027</v>
      </c>
      <c r="G85" s="16">
        <f t="shared" si="52"/>
        <v>-1.2518077683399447</v>
      </c>
      <c r="H85" s="14">
        <f t="shared" si="45"/>
        <v>6.9343972099285578</v>
      </c>
      <c r="I85" s="17">
        <v>40349</v>
      </c>
      <c r="J85" s="15">
        <v>-52</v>
      </c>
      <c r="K85" s="14">
        <f t="shared" si="46"/>
        <v>-0.128875560732608</v>
      </c>
      <c r="L85" s="16">
        <f t="shared" si="53"/>
        <v>-0.35522533173888066</v>
      </c>
      <c r="M85" s="14">
        <v>1.0635156673797794</v>
      </c>
      <c r="N85" s="16">
        <f t="shared" si="54"/>
        <v>1.5380319853253162</v>
      </c>
      <c r="O85" s="14">
        <v>1.56</v>
      </c>
      <c r="P85" s="17">
        <v>-0.14999999999999991</v>
      </c>
      <c r="Q85" s="14">
        <v>8106</v>
      </c>
      <c r="R85" s="14">
        <f>[1]Feuil1!J119/panel_choc_taux_suisse_2014_202!Q85</f>
        <v>85414.817328727673</v>
      </c>
      <c r="S85" s="14">
        <v>33.799999999999997</v>
      </c>
      <c r="T85" s="17">
        <f t="shared" si="47"/>
        <v>0.49218014501424778</v>
      </c>
      <c r="U85" s="17">
        <f t="shared" si="48"/>
        <v>-0.69850435541527656</v>
      </c>
      <c r="V85" s="14">
        <v>72360.662379999994</v>
      </c>
      <c r="W85" s="16">
        <f t="shared" si="55"/>
        <v>-0.92109714461800762</v>
      </c>
      <c r="X85" s="14">
        <f t="shared" si="49"/>
        <v>11.189418093419794</v>
      </c>
      <c r="Y85" s="14">
        <v>2.1</v>
      </c>
      <c r="Z85" s="16">
        <f t="shared" si="56"/>
        <v>-0.37338004336983804</v>
      </c>
      <c r="AA85" s="14">
        <f t="shared" si="57"/>
        <v>0.74193734472937733</v>
      </c>
      <c r="AB85" s="14">
        <v>7957</v>
      </c>
      <c r="AC85" s="17">
        <v>272</v>
      </c>
      <c r="AD85" s="14">
        <f t="shared" si="50"/>
        <v>6.7411831767825716E-3</v>
      </c>
      <c r="AE85" s="14">
        <f t="shared" si="51"/>
        <v>-0.10316210520051439</v>
      </c>
      <c r="AF85" s="14">
        <f t="shared" si="58"/>
        <v>1.5474315780077149E-2</v>
      </c>
      <c r="AG85" s="14">
        <f t="shared" si="59"/>
        <v>1.5355809527486579E-2</v>
      </c>
      <c r="AH85" s="14">
        <f t="shared" si="60"/>
        <v>0.16466191768545765</v>
      </c>
      <c r="AI85" s="14">
        <f t="shared" si="65"/>
        <v>1.4616324161220717E-3</v>
      </c>
      <c r="AJ85" s="14">
        <f t="shared" si="66"/>
        <v>0.20738866822596921</v>
      </c>
      <c r="AK85" s="14">
        <f t="shared" si="67"/>
        <v>-0.29999999999999982</v>
      </c>
      <c r="AL85" s="14">
        <f t="shared" si="68"/>
        <v>3.9920212479795936E-3</v>
      </c>
    </row>
    <row r="86" spans="1:38" ht="17.25" customHeight="1" x14ac:dyDescent="0.2">
      <c r="A86" s="19" t="s">
        <v>17</v>
      </c>
      <c r="B86" s="19">
        <v>2018</v>
      </c>
      <c r="C86" s="14">
        <v>1</v>
      </c>
      <c r="D86" s="14">
        <v>0</v>
      </c>
      <c r="E86" s="14">
        <v>0</v>
      </c>
      <c r="F86" s="14">
        <v>1062.17</v>
      </c>
      <c r="G86" s="16">
        <f t="shared" si="52"/>
        <v>-1.0735296376741612</v>
      </c>
      <c r="H86" s="14">
        <f t="shared" si="45"/>
        <v>6.9680692643207625</v>
      </c>
      <c r="I86" s="17">
        <v>40403</v>
      </c>
      <c r="J86" s="15">
        <v>-66</v>
      </c>
      <c r="K86" s="14">
        <f t="shared" si="46"/>
        <v>-0.16335420637081405</v>
      </c>
      <c r="L86" s="16">
        <f t="shared" si="53"/>
        <v>-0.46190171586961271</v>
      </c>
      <c r="M86" s="14">
        <v>1.0301138707197743</v>
      </c>
      <c r="N86" s="16">
        <f t="shared" si="54"/>
        <v>0.14360416774800241</v>
      </c>
      <c r="O86" s="14">
        <v>1.5</v>
      </c>
      <c r="P86" s="17">
        <v>-6.0000000000000053E-2</v>
      </c>
      <c r="Q86" s="14">
        <v>8026</v>
      </c>
      <c r="R86" s="14">
        <f>[1]Feuil1!J120/panel_choc_taux_suisse_2014_202!Q86</f>
        <v>88567.049615831886</v>
      </c>
      <c r="S86" s="14">
        <v>33.299999999999997</v>
      </c>
      <c r="T86" s="17">
        <f t="shared" si="47"/>
        <v>0.5451896594169362</v>
      </c>
      <c r="U86" s="17">
        <f t="shared" si="48"/>
        <v>-0.74898554632254033</v>
      </c>
      <c r="V86" s="14">
        <v>72722.465689999997</v>
      </c>
      <c r="W86" s="16">
        <f t="shared" si="55"/>
        <v>-0.90056982792187923</v>
      </c>
      <c r="X86" s="14">
        <f t="shared" si="49"/>
        <v>11.194405634904706</v>
      </c>
      <c r="Y86" s="14">
        <v>1.7</v>
      </c>
      <c r="Z86" s="16">
        <f t="shared" si="56"/>
        <v>-0.71793660513082491</v>
      </c>
      <c r="AA86" s="14">
        <f t="shared" si="57"/>
        <v>0.53062825106217038</v>
      </c>
      <c r="AB86" s="14">
        <v>8111</v>
      </c>
      <c r="AC86" s="17">
        <v>267</v>
      </c>
      <c r="AD86" s="14">
        <f t="shared" si="50"/>
        <v>6.6084201668192956E-3</v>
      </c>
      <c r="AE86" s="14">
        <f t="shared" si="51"/>
        <v>-0.10189794345280206</v>
      </c>
      <c r="AF86" s="14">
        <f t="shared" si="58"/>
        <v>6.113876607168129E-3</v>
      </c>
      <c r="AG86" s="14">
        <f t="shared" si="59"/>
        <v>6.0952626938350967E-3</v>
      </c>
      <c r="AH86" s="14">
        <f t="shared" si="60"/>
        <v>6.8402594350512491E-2</v>
      </c>
      <c r="AI86" s="14">
        <f t="shared" si="65"/>
        <v>3.3672054392204664E-2</v>
      </c>
      <c r="AJ86" s="14">
        <f t="shared" si="66"/>
        <v>-3.4478645638206046E-2</v>
      </c>
      <c r="AK86" s="14">
        <f t="shared" si="67"/>
        <v>-0.40000000000000013</v>
      </c>
      <c r="AL86" s="14">
        <f t="shared" si="68"/>
        <v>4.9875414849118727E-3</v>
      </c>
    </row>
    <row r="87" spans="1:38" ht="17.25" customHeight="1" x14ac:dyDescent="0.2">
      <c r="A87" s="19" t="s">
        <v>17</v>
      </c>
      <c r="B87" s="19">
        <v>2019</v>
      </c>
      <c r="C87" s="14">
        <v>1</v>
      </c>
      <c r="D87" s="14">
        <v>0</v>
      </c>
      <c r="E87" s="14">
        <v>0</v>
      </c>
      <c r="F87" s="14">
        <v>1106.5</v>
      </c>
      <c r="G87" s="16">
        <f t="shared" si="52"/>
        <v>-0.84881910220603041</v>
      </c>
      <c r="H87" s="14">
        <f t="shared" si="45"/>
        <v>7.0089571594911044</v>
      </c>
      <c r="I87" s="17">
        <v>40590</v>
      </c>
      <c r="J87" s="15">
        <v>3</v>
      </c>
      <c r="K87" s="14">
        <f t="shared" si="46"/>
        <v>7.3909830007390983E-3</v>
      </c>
      <c r="L87" s="16">
        <f t="shared" si="53"/>
        <v>6.638119874959697E-2</v>
      </c>
      <c r="M87" s="14">
        <v>1.036888899675622</v>
      </c>
      <c r="N87" s="16">
        <f t="shared" si="54"/>
        <v>0.42644191258817377</v>
      </c>
      <c r="O87" s="14">
        <v>1.43</v>
      </c>
      <c r="P87" s="17">
        <v>-7.0000000000000062E-2</v>
      </c>
      <c r="Q87" s="14">
        <v>8154</v>
      </c>
      <c r="R87" s="14">
        <f>[1]Feuil1!J121/panel_choc_taux_suisse_2014_202!Q87</f>
        <v>89547.063187801468</v>
      </c>
      <c r="S87" s="14">
        <v>32.6</v>
      </c>
      <c r="T87" s="17">
        <f t="shared" si="47"/>
        <v>0.56167005769554001</v>
      </c>
      <c r="U87" s="17">
        <f t="shared" si="48"/>
        <v>-0.8196592135927091</v>
      </c>
      <c r="V87" s="14">
        <v>73377</v>
      </c>
      <c r="W87" s="16">
        <f t="shared" si="55"/>
        <v>-0.86343408952896128</v>
      </c>
      <c r="X87" s="14">
        <f t="shared" si="49"/>
        <v>11.203365813999131</v>
      </c>
      <c r="Y87" s="14">
        <v>1.4</v>
      </c>
      <c r="Z87" s="16">
        <f t="shared" si="56"/>
        <v>-0.9763540264515651</v>
      </c>
      <c r="AA87" s="14">
        <f t="shared" si="57"/>
        <v>0.33647223662121289</v>
      </c>
      <c r="AB87" s="14">
        <v>8262</v>
      </c>
      <c r="AC87" s="17">
        <v>117</v>
      </c>
      <c r="AD87" s="14">
        <f t="shared" si="50"/>
        <v>2.8824833702882483E-3</v>
      </c>
      <c r="AE87" s="14">
        <f t="shared" si="51"/>
        <v>-0.12899457794858454</v>
      </c>
      <c r="AF87" s="14">
        <f t="shared" si="58"/>
        <v>9.0296204564009261E-3</v>
      </c>
      <c r="AG87" s="14">
        <f t="shared" si="59"/>
        <v>8.9890971907351583E-3</v>
      </c>
      <c r="AH87" s="14">
        <f t="shared" si="60"/>
        <v>9.8387034691462025E-2</v>
      </c>
      <c r="AI87" s="14">
        <f t="shared" si="65"/>
        <v>4.088789517034197E-2</v>
      </c>
      <c r="AJ87" s="14">
        <f t="shared" si="66"/>
        <v>0.17074518937155314</v>
      </c>
      <c r="AK87" s="14">
        <f t="shared" si="67"/>
        <v>-0.30000000000000004</v>
      </c>
      <c r="AL87" s="14">
        <f t="shared" si="68"/>
        <v>8.9601790944247028E-3</v>
      </c>
    </row>
    <row r="88" spans="1:38" ht="17.25" customHeight="1" x14ac:dyDescent="0.2">
      <c r="A88" s="19" t="s">
        <v>17</v>
      </c>
      <c r="B88" s="19">
        <v>2020</v>
      </c>
      <c r="C88" s="14">
        <v>1</v>
      </c>
      <c r="D88" s="14">
        <v>0</v>
      </c>
      <c r="E88" s="14">
        <v>0</v>
      </c>
      <c r="F88" s="14">
        <v>1113.33</v>
      </c>
      <c r="G88" s="16">
        <f t="shared" si="52"/>
        <v>-0.81419756019729328</v>
      </c>
      <c r="H88" s="14">
        <f t="shared" si="45"/>
        <v>7.015110803286178</v>
      </c>
      <c r="I88" s="17">
        <v>40851</v>
      </c>
      <c r="J88" s="15">
        <v>17</v>
      </c>
      <c r="K88" s="14">
        <f t="shared" si="46"/>
        <v>4.161464835622139E-2</v>
      </c>
      <c r="L88" s="16">
        <f t="shared" si="53"/>
        <v>0.17226867791953029</v>
      </c>
      <c r="M88" s="14">
        <v>1.0413346451454319</v>
      </c>
      <c r="N88" s="16">
        <f t="shared" si="54"/>
        <v>0.61203884966534006</v>
      </c>
      <c r="O88" s="14">
        <v>1.33</v>
      </c>
      <c r="P88" s="17">
        <v>-9.9999999999999867E-2</v>
      </c>
      <c r="Q88" s="14">
        <v>7519</v>
      </c>
      <c r="R88" s="14">
        <f>[1]Feuil1!J122/panel_choc_taux_suisse_2014_202!Q88</f>
        <v>99669.738957973139</v>
      </c>
      <c r="S88" s="14">
        <v>32.1</v>
      </c>
      <c r="T88" s="17">
        <f t="shared" si="47"/>
        <v>0.73189803525540575</v>
      </c>
      <c r="U88" s="17">
        <f t="shared" si="48"/>
        <v>-0.87014040449997287</v>
      </c>
      <c r="V88" s="14">
        <v>73963.983630000002</v>
      </c>
      <c r="W88" s="16">
        <f t="shared" si="55"/>
        <v>-0.83013091475023137</v>
      </c>
      <c r="X88" s="14">
        <f t="shared" si="49"/>
        <v>11.211333546002965</v>
      </c>
      <c r="Y88" s="14">
        <v>2.1</v>
      </c>
      <c r="Z88" s="16">
        <f t="shared" si="56"/>
        <v>-0.37338004336983804</v>
      </c>
      <c r="AA88" s="14">
        <f t="shared" si="57"/>
        <v>0.74193734472937733</v>
      </c>
      <c r="AB88" s="14">
        <v>8420</v>
      </c>
      <c r="AC88" s="17">
        <v>177</v>
      </c>
      <c r="AD88" s="14">
        <f t="shared" si="50"/>
        <v>4.3328192700301093E-3</v>
      </c>
      <c r="AE88" s="14">
        <f t="shared" si="51"/>
        <v>-6.912118462228356E-2</v>
      </c>
      <c r="AF88" s="14">
        <f t="shared" si="58"/>
        <v>6.9121184622283468E-3</v>
      </c>
      <c r="AG88" s="14">
        <f t="shared" si="59"/>
        <v>6.8883392848522436E-3</v>
      </c>
      <c r="AH88" s="14">
        <f t="shared" si="60"/>
        <v>7.6611420817556175E-2</v>
      </c>
      <c r="AI88" s="14">
        <f t="shared" si="65"/>
        <v>6.153643795073549E-3</v>
      </c>
      <c r="AJ88" s="14">
        <f t="shared" si="66"/>
        <v>3.422366535548229E-2</v>
      </c>
      <c r="AK88" s="14">
        <f t="shared" si="67"/>
        <v>0.70000000000000018</v>
      </c>
      <c r="AL88" s="14">
        <f t="shared" si="68"/>
        <v>7.9677320038342714E-3</v>
      </c>
    </row>
    <row r="89" spans="1:38" ht="17.25" customHeight="1" x14ac:dyDescent="0.2">
      <c r="A89" s="19" t="s">
        <v>17</v>
      </c>
      <c r="B89" s="19">
        <v>2021</v>
      </c>
      <c r="C89" s="14">
        <v>1</v>
      </c>
      <c r="D89" s="14">
        <v>0</v>
      </c>
      <c r="E89" s="14">
        <v>0</v>
      </c>
      <c r="F89" s="14">
        <v>1129.5</v>
      </c>
      <c r="G89" s="16">
        <f t="shared" si="52"/>
        <v>-0.73223118621760241</v>
      </c>
      <c r="H89" s="14">
        <f t="shared" si="45"/>
        <v>7.0295303359080581</v>
      </c>
      <c r="I89" s="17">
        <v>41190</v>
      </c>
      <c r="J89" s="15">
        <v>99</v>
      </c>
      <c r="K89" s="14">
        <f t="shared" si="46"/>
        <v>0.2403495994173343</v>
      </c>
      <c r="L89" s="16">
        <f t="shared" si="53"/>
        <v>0.78715147239058914</v>
      </c>
      <c r="M89" s="14">
        <v>1.0457435779736526</v>
      </c>
      <c r="N89" s="16">
        <f t="shared" si="54"/>
        <v>0.79609896607405228</v>
      </c>
      <c r="O89" s="14">
        <v>1.25</v>
      </c>
      <c r="P89" s="17">
        <v>-8.0000000000000071E-2</v>
      </c>
      <c r="Q89" s="14">
        <v>7927</v>
      </c>
      <c r="R89" s="14">
        <f>[1]Feuil1!J123/panel_choc_taux_suisse_2014_202!Q89</f>
        <v>97533.718436987489</v>
      </c>
      <c r="S89" s="14">
        <v>31.8</v>
      </c>
      <c r="T89" s="17">
        <f t="shared" si="47"/>
        <v>0.69597764606491097</v>
      </c>
      <c r="U89" s="17">
        <f t="shared" si="48"/>
        <v>-0.90042911904433121</v>
      </c>
      <c r="V89" s="14">
        <v>73816.055659999998</v>
      </c>
      <c r="W89" s="16">
        <f t="shared" si="55"/>
        <v>-0.83852377408699486</v>
      </c>
      <c r="X89" s="14">
        <f t="shared" si="49"/>
        <v>11.209331543295173</v>
      </c>
      <c r="Y89" s="14">
        <v>2</v>
      </c>
      <c r="Z89" s="16">
        <f t="shared" si="56"/>
        <v>-0.45951918381008483</v>
      </c>
      <c r="AA89" s="14">
        <f t="shared" si="57"/>
        <v>0.69314718055994529</v>
      </c>
      <c r="AB89" s="14">
        <v>8554</v>
      </c>
      <c r="AC89" s="17">
        <v>187</v>
      </c>
      <c r="AD89" s="14">
        <f t="shared" si="50"/>
        <v>4.5399368778829812E-3</v>
      </c>
      <c r="AE89" s="14">
        <f t="shared" si="51"/>
        <v>-0.10222573648971012</v>
      </c>
      <c r="AF89" s="14">
        <f t="shared" si="58"/>
        <v>8.1780589191768165E-3</v>
      </c>
      <c r="AG89" s="14">
        <f t="shared" si="59"/>
        <v>8.1447998023045885E-3</v>
      </c>
      <c r="AH89" s="14">
        <f t="shared" si="60"/>
        <v>8.9629888169053304E-2</v>
      </c>
      <c r="AI89" s="14">
        <f t="shared" si="65"/>
        <v>1.4419532621880116E-2</v>
      </c>
      <c r="AJ89" s="14">
        <f t="shared" si="66"/>
        <v>0.19873495106111291</v>
      </c>
      <c r="AK89" s="14">
        <f t="shared" si="67"/>
        <v>-0.10000000000000009</v>
      </c>
      <c r="AL89" s="14">
        <f t="shared" si="68"/>
        <v>-2.002002707792272E-3</v>
      </c>
    </row>
    <row r="90" spans="1:38" ht="17.25" customHeight="1" x14ac:dyDescent="0.2">
      <c r="A90" s="19" t="s">
        <v>17</v>
      </c>
      <c r="B90" s="19">
        <v>2022</v>
      </c>
      <c r="C90" s="14">
        <v>1</v>
      </c>
      <c r="D90" s="14">
        <v>0</v>
      </c>
      <c r="E90" s="14">
        <v>0</v>
      </c>
      <c r="F90" s="14">
        <v>1153.83</v>
      </c>
      <c r="G90" s="16">
        <f t="shared" si="52"/>
        <v>-0.60890144726114825</v>
      </c>
      <c r="H90" s="14">
        <f t="shared" si="45"/>
        <v>7.0508421225248092</v>
      </c>
      <c r="I90" s="17">
        <v>41471</v>
      </c>
      <c r="J90" s="15">
        <v>44</v>
      </c>
      <c r="K90" s="14">
        <f t="shared" si="46"/>
        <v>0.1060982373224663</v>
      </c>
      <c r="L90" s="16">
        <f t="shared" si="53"/>
        <v>0.3717798820101238</v>
      </c>
      <c r="M90" s="14">
        <v>0.98600652141555722</v>
      </c>
      <c r="N90" s="16">
        <f t="shared" si="54"/>
        <v>-1.6977493215702677</v>
      </c>
      <c r="O90" s="14">
        <v>1.21</v>
      </c>
      <c r="P90" s="17">
        <v>-4.0000000000000036E-2</v>
      </c>
      <c r="Q90" s="14">
        <v>7540</v>
      </c>
      <c r="R90" s="14">
        <f>[1]Feuil1!J124/panel_choc_taux_suisse_2014_202!Q90</f>
        <v>105587.86438549956</v>
      </c>
      <c r="S90" s="14">
        <v>31.1</v>
      </c>
      <c r="T90" s="17">
        <f t="shared" si="47"/>
        <v>0.83142019178263715</v>
      </c>
      <c r="U90" s="17">
        <f t="shared" si="48"/>
        <v>-0.97110278631450031</v>
      </c>
      <c r="V90" s="14">
        <v>74480.400160000005</v>
      </c>
      <c r="W90" s="16">
        <f t="shared" si="55"/>
        <v>-0.80083144355847902</v>
      </c>
      <c r="X90" s="14">
        <f t="shared" si="49"/>
        <v>11.218291284654024</v>
      </c>
      <c r="Y90" s="14">
        <v>1.3</v>
      </c>
      <c r="Z90" s="16">
        <f t="shared" si="56"/>
        <v>-1.0624931668918116</v>
      </c>
      <c r="AA90" s="14">
        <f t="shared" si="57"/>
        <v>0.26236426446749106</v>
      </c>
      <c r="AB90" s="14">
        <v>8745</v>
      </c>
      <c r="AC90" s="17">
        <v>90</v>
      </c>
      <c r="AD90" s="14">
        <f t="shared" si="50"/>
        <v>2.1701912179595381E-3</v>
      </c>
      <c r="AE90" s="14">
        <f t="shared" si="51"/>
        <v>-6.9841297265931579E-2</v>
      </c>
      <c r="AF90" s="14">
        <f t="shared" si="58"/>
        <v>2.7936518906372656E-3</v>
      </c>
      <c r="AG90" s="14">
        <f t="shared" si="59"/>
        <v>2.7897568976776037E-3</v>
      </c>
      <c r="AH90" s="14">
        <f t="shared" si="60"/>
        <v>3.4258621121327403E-2</v>
      </c>
      <c r="AI90" s="14">
        <f t="shared" si="65"/>
        <v>2.1311786616751149E-2</v>
      </c>
      <c r="AJ90" s="14">
        <f t="shared" si="66"/>
        <v>-0.13425136209486799</v>
      </c>
      <c r="AK90" s="14">
        <f t="shared" si="67"/>
        <v>-0.7</v>
      </c>
      <c r="AL90" s="14">
        <f t="shared" si="68"/>
        <v>8.9597413588506924E-3</v>
      </c>
    </row>
    <row r="91" spans="1:38" ht="17.25" customHeight="1" x14ac:dyDescent="0.2">
      <c r="A91" s="19" t="s">
        <v>17</v>
      </c>
      <c r="B91" s="19">
        <v>2023</v>
      </c>
      <c r="C91" s="14">
        <v>1</v>
      </c>
      <c r="D91" s="14">
        <v>0</v>
      </c>
      <c r="E91" s="14">
        <v>0</v>
      </c>
      <c r="F91" s="14">
        <v>1309.1400000000001</v>
      </c>
      <c r="G91" s="16">
        <f t="shared" si="52"/>
        <v>0.17837112805027688</v>
      </c>
      <c r="H91" s="14">
        <f t="shared" si="45"/>
        <v>7.1771257120626144</v>
      </c>
      <c r="I91" s="17">
        <v>42056</v>
      </c>
      <c r="J91" s="15">
        <v>36</v>
      </c>
      <c r="K91" s="14">
        <f t="shared" si="46"/>
        <v>8.5600152178048325E-2</v>
      </c>
      <c r="L91" s="16">
        <f t="shared" si="53"/>
        <v>0.30835913086590461</v>
      </c>
      <c r="M91" s="14">
        <v>1.0341430614279774</v>
      </c>
      <c r="N91" s="16">
        <f t="shared" si="54"/>
        <v>0.31181115562449047</v>
      </c>
      <c r="O91" s="14">
        <v>1.48</v>
      </c>
      <c r="P91" s="17">
        <v>0.27</v>
      </c>
      <c r="Q91" s="14">
        <v>7958</v>
      </c>
      <c r="R91" s="14">
        <f>[1]Feuil1!J125/panel_choc_taux_suisse_2014_202!Q91</f>
        <v>102172.44805122729</v>
      </c>
      <c r="S91" s="14">
        <v>31.6</v>
      </c>
      <c r="T91" s="17">
        <f t="shared" si="47"/>
        <v>0.77398484283850721</v>
      </c>
      <c r="U91" s="17">
        <f t="shared" si="48"/>
        <v>-0.92062159540723654</v>
      </c>
      <c r="V91" s="14">
        <v>87142.068190000005</v>
      </c>
      <c r="W91" s="16">
        <f t="shared" si="55"/>
        <v>-8.245750288598562E-2</v>
      </c>
      <c r="X91" s="14">
        <f t="shared" si="49"/>
        <v>11.375295033495821</v>
      </c>
      <c r="Y91" s="14">
        <v>1.3</v>
      </c>
      <c r="Z91" s="16">
        <f t="shared" si="56"/>
        <v>-1.0624931668918116</v>
      </c>
      <c r="AA91" s="14">
        <f t="shared" si="57"/>
        <v>0.26236426446749106</v>
      </c>
      <c r="AB91" s="14">
        <v>8980</v>
      </c>
      <c r="AC91" s="17">
        <v>143</v>
      </c>
      <c r="AD91" s="14">
        <f t="shared" si="50"/>
        <v>3.4002282670724747E-3</v>
      </c>
      <c r="AE91" s="14">
        <f t="shared" si="51"/>
        <v>-7.3318376284364661E-2</v>
      </c>
      <c r="AF91" s="14">
        <f t="shared" si="58"/>
        <v>-1.9795961596778461E-2</v>
      </c>
      <c r="AG91" s="14">
        <f t="shared" si="59"/>
        <v>-1.9994526536375172E-2</v>
      </c>
      <c r="AH91" s="14">
        <f t="shared" si="60"/>
        <v>-0.19804467881249541</v>
      </c>
      <c r="AI91" s="14">
        <f t="shared" si="65"/>
        <v>0.12628358953780516</v>
      </c>
      <c r="AJ91" s="14">
        <f t="shared" si="66"/>
        <v>-2.0498085144417977E-2</v>
      </c>
      <c r="AK91" s="14">
        <f t="shared" si="67"/>
        <v>0</v>
      </c>
      <c r="AL91" s="14">
        <f t="shared" si="68"/>
        <v>0.15700374884179702</v>
      </c>
    </row>
    <row r="92" spans="1:38" ht="17.25" customHeight="1" x14ac:dyDescent="0.2">
      <c r="A92" s="19" t="s">
        <v>16</v>
      </c>
      <c r="B92" s="19">
        <v>2014</v>
      </c>
      <c r="C92" s="14">
        <v>1</v>
      </c>
      <c r="D92" s="14">
        <v>0</v>
      </c>
      <c r="E92" s="14">
        <v>0</v>
      </c>
      <c r="F92" s="14">
        <v>1220.5</v>
      </c>
      <c r="G92" s="16">
        <f t="shared" si="52"/>
        <v>-0.2709485620894741</v>
      </c>
      <c r="H92" s="14">
        <f t="shared" si="45"/>
        <v>7.1070158898330149</v>
      </c>
      <c r="I92" s="17">
        <v>195886</v>
      </c>
      <c r="J92" s="15">
        <v>-719</v>
      </c>
      <c r="K92" s="14">
        <f t="shared" si="46"/>
        <v>-0.36705022308893948</v>
      </c>
      <c r="L92" s="16">
        <f t="shared" si="53"/>
        <v>-1.0921339689962866</v>
      </c>
      <c r="M92" s="14">
        <v>1.0281149308624065</v>
      </c>
      <c r="N92" s="16">
        <f t="shared" si="54"/>
        <v>6.0154245243822686E-2</v>
      </c>
      <c r="O92" s="14">
        <v>1.95</v>
      </c>
      <c r="P92" s="17">
        <v>0</v>
      </c>
      <c r="Q92" s="14">
        <v>42567</v>
      </c>
      <c r="R92" s="14">
        <f>[1]Feuil1!J126/panel_choc_taux_suisse_2014_202!Q92</f>
        <v>14913.250483551421</v>
      </c>
      <c r="S92" s="14">
        <v>43.2</v>
      </c>
      <c r="T92" s="17">
        <f t="shared" si="47"/>
        <v>-0.69340945711646462</v>
      </c>
      <c r="U92" s="17">
        <f t="shared" si="48"/>
        <v>0.25054203364128208</v>
      </c>
      <c r="V92" s="14">
        <v>72117.901280000005</v>
      </c>
      <c r="W92" s="16">
        <f t="shared" si="55"/>
        <v>-0.93487046797759832</v>
      </c>
      <c r="X92" s="14">
        <f t="shared" si="49"/>
        <v>11.186057576505588</v>
      </c>
      <c r="Y92" s="14">
        <v>3.4</v>
      </c>
      <c r="Z92" s="16">
        <f t="shared" si="56"/>
        <v>0.74642878235336874</v>
      </c>
      <c r="AA92" s="14">
        <f t="shared" si="57"/>
        <v>1.2237754316221157</v>
      </c>
      <c r="AB92" s="14">
        <v>37423</v>
      </c>
      <c r="AC92" s="17">
        <v>1776</v>
      </c>
      <c r="AD92" s="14">
        <f t="shared" si="50"/>
        <v>9.066497861000786E-3</v>
      </c>
      <c r="AE92" s="14">
        <f t="shared" si="51"/>
        <v>-0.22143371173759127</v>
      </c>
      <c r="AF92" s="14">
        <f t="shared" si="58"/>
        <v>0</v>
      </c>
      <c r="AG92" s="14">
        <f t="shared" si="59"/>
        <v>0</v>
      </c>
      <c r="AH92" s="14">
        <f t="shared" si="60"/>
        <v>5.5297297030243815E-3</v>
      </c>
      <c r="AI92" s="14">
        <v>0</v>
      </c>
      <c r="AJ92" s="14">
        <v>0</v>
      </c>
      <c r="AK92" s="14">
        <v>0</v>
      </c>
      <c r="AL92" s="14">
        <v>0</v>
      </c>
    </row>
    <row r="93" spans="1:38" ht="17.25" customHeight="1" x14ac:dyDescent="0.2">
      <c r="A93" s="19" t="s">
        <v>16</v>
      </c>
      <c r="B93" s="19">
        <v>2015</v>
      </c>
      <c r="C93" s="14">
        <v>1</v>
      </c>
      <c r="D93" s="14">
        <v>0</v>
      </c>
      <c r="E93" s="14">
        <v>0</v>
      </c>
      <c r="F93" s="14">
        <v>1178.67</v>
      </c>
      <c r="G93" s="16">
        <f t="shared" si="52"/>
        <v>-0.48298649799364524</v>
      </c>
      <c r="H93" s="14">
        <f t="shared" si="45"/>
        <v>7.0721419631397238</v>
      </c>
      <c r="I93" s="17">
        <v>196610</v>
      </c>
      <c r="J93" s="15">
        <v>-657</v>
      </c>
      <c r="K93" s="14">
        <f t="shared" si="46"/>
        <v>-0.33416408117593205</v>
      </c>
      <c r="L93" s="16">
        <f t="shared" si="53"/>
        <v>-0.99038476619690763</v>
      </c>
      <c r="M93" s="14">
        <v>1.0174024043472965</v>
      </c>
      <c r="N93" s="16">
        <f t="shared" si="54"/>
        <v>-0.38706256531446542</v>
      </c>
      <c r="O93" s="14">
        <v>1.84</v>
      </c>
      <c r="P93" s="17">
        <v>-0.10999999999999988</v>
      </c>
      <c r="Q93" s="14">
        <v>44707</v>
      </c>
      <c r="R93" s="14">
        <f>[1]Feuil1!J127/panel_choc_taux_suisse_2014_202!Q93</f>
        <v>14675.155734187785</v>
      </c>
      <c r="S93" s="14">
        <v>44.9</v>
      </c>
      <c r="T93" s="17">
        <f t="shared" si="47"/>
        <v>-0.69741337748021126</v>
      </c>
      <c r="U93" s="17">
        <f t="shared" si="48"/>
        <v>0.42217808272597834</v>
      </c>
      <c r="V93" s="14">
        <v>72406.372879999995</v>
      </c>
      <c r="W93" s="16">
        <f t="shared" si="55"/>
        <v>-0.91850370811838467</v>
      </c>
      <c r="X93" s="14">
        <f t="shared" si="49"/>
        <v>11.190049597704412</v>
      </c>
      <c r="Y93" s="14">
        <v>3.2</v>
      </c>
      <c r="Z93" s="16">
        <f t="shared" si="56"/>
        <v>0.57415050147287561</v>
      </c>
      <c r="AA93" s="14">
        <f t="shared" si="57"/>
        <v>1.1631508098056809</v>
      </c>
      <c r="AB93" s="14">
        <v>38473</v>
      </c>
      <c r="AC93" s="17">
        <v>1952</v>
      </c>
      <c r="AD93" s="14">
        <f t="shared" si="50"/>
        <v>9.928284420934845E-3</v>
      </c>
      <c r="AE93" s="14">
        <f t="shared" si="51"/>
        <v>-0.13761764737711646</v>
      </c>
      <c r="AF93" s="14">
        <f t="shared" si="58"/>
        <v>1.5137941211482793E-2</v>
      </c>
      <c r="AG93" s="14">
        <f t="shared" si="59"/>
        <v>1.5024505931230742E-2</v>
      </c>
      <c r="AH93" s="14">
        <f t="shared" si="60"/>
        <v>0.16120276499380953</v>
      </c>
      <c r="AI93" s="14">
        <f t="shared" ref="AI93:AI101" si="69">LN(F93)-LN(F92)</f>
        <v>-3.4873926693291146E-2</v>
      </c>
      <c r="AJ93" s="14">
        <f t="shared" ref="AJ93:AJ101" si="70">K93-K92</f>
        <v>3.2886141913007427E-2</v>
      </c>
      <c r="AK93" s="14">
        <f t="shared" ref="AK93:AK101" si="71">Y93-Y92</f>
        <v>-0.19999999999999973</v>
      </c>
      <c r="AL93" s="14">
        <f t="shared" ref="AL93:AL101" si="72">LN(V93)-LN(V92)</f>
        <v>3.9920211988242471E-3</v>
      </c>
    </row>
    <row r="94" spans="1:38" ht="17.25" customHeight="1" x14ac:dyDescent="0.2">
      <c r="A94" s="19" t="s">
        <v>16</v>
      </c>
      <c r="B94" s="19">
        <v>2016</v>
      </c>
      <c r="C94" s="14">
        <v>1</v>
      </c>
      <c r="D94" s="14">
        <v>0</v>
      </c>
      <c r="E94" s="14">
        <v>0</v>
      </c>
      <c r="F94" s="14">
        <v>1178.33</v>
      </c>
      <c r="G94" s="16">
        <f t="shared" si="52"/>
        <v>-0.48470997153434447</v>
      </c>
      <c r="H94" s="14">
        <f t="shared" si="45"/>
        <v>7.071853460804248</v>
      </c>
      <c r="I94" s="17">
        <v>197550</v>
      </c>
      <c r="J94" s="15">
        <v>-671</v>
      </c>
      <c r="K94" s="14">
        <f t="shared" si="46"/>
        <v>-0.3396608453556062</v>
      </c>
      <c r="L94" s="16">
        <f t="shared" si="53"/>
        <v>-1.0073916676065502</v>
      </c>
      <c r="M94" s="14">
        <v>0.98347652295718835</v>
      </c>
      <c r="N94" s="16">
        <f t="shared" si="54"/>
        <v>-1.8033693953850858</v>
      </c>
      <c r="O94" s="14">
        <v>1.71</v>
      </c>
      <c r="P94" s="17">
        <v>-0.13000000000000012</v>
      </c>
      <c r="Q94" s="14">
        <v>44624</v>
      </c>
      <c r="R94" s="14">
        <f>[1]Feuil1!J128/panel_choc_taux_suisse_2014_202!Q94</f>
        <v>15139.456142808054</v>
      </c>
      <c r="S94" s="14">
        <v>44.3</v>
      </c>
      <c r="T94" s="17">
        <f t="shared" si="47"/>
        <v>-0.68960546963705527</v>
      </c>
      <c r="U94" s="17">
        <f t="shared" si="48"/>
        <v>0.36160065363726174</v>
      </c>
      <c r="V94" s="14">
        <v>72913.217499999999</v>
      </c>
      <c r="W94" s="16">
        <f t="shared" si="55"/>
        <v>-0.88974730997910612</v>
      </c>
      <c r="X94" s="14">
        <f t="shared" si="49"/>
        <v>11.197025211575793</v>
      </c>
      <c r="Y94" s="14">
        <v>3.3</v>
      </c>
      <c r="Z94" s="16">
        <f t="shared" si="56"/>
        <v>0.66028964191312201</v>
      </c>
      <c r="AA94" s="14">
        <f t="shared" si="57"/>
        <v>1.1939224684724346</v>
      </c>
      <c r="AB94" s="14">
        <v>39434</v>
      </c>
      <c r="AC94" s="17">
        <v>1343</v>
      </c>
      <c r="AD94" s="14">
        <f t="shared" si="50"/>
        <v>6.7982789167299416E-3</v>
      </c>
      <c r="AE94" s="14">
        <f t="shared" si="51"/>
        <v>-0.16400240799989677</v>
      </c>
      <c r="AF94" s="14">
        <f t="shared" si="58"/>
        <v>2.1320313039986598E-2</v>
      </c>
      <c r="AG94" s="14">
        <f t="shared" si="59"/>
        <v>2.1096214799979699E-2</v>
      </c>
      <c r="AH94" s="14">
        <f t="shared" si="60"/>
        <v>0.22478000937558745</v>
      </c>
      <c r="AI94" s="14">
        <f t="shared" si="69"/>
        <v>-2.8850233547572657E-4</v>
      </c>
      <c r="AJ94" s="14">
        <f t="shared" si="70"/>
        <v>-5.4967641796741518E-3</v>
      </c>
      <c r="AK94" s="14">
        <f t="shared" si="71"/>
        <v>9.9999999999999645E-2</v>
      </c>
      <c r="AL94" s="14">
        <f t="shared" si="72"/>
        <v>6.9756138713810145E-3</v>
      </c>
    </row>
    <row r="95" spans="1:38" ht="17.25" customHeight="1" x14ac:dyDescent="0.2">
      <c r="A95" s="19" t="s">
        <v>16</v>
      </c>
      <c r="B95" s="19">
        <v>2017</v>
      </c>
      <c r="C95" s="14">
        <v>1</v>
      </c>
      <c r="D95" s="14">
        <v>0</v>
      </c>
      <c r="E95" s="14">
        <v>0</v>
      </c>
      <c r="F95" s="14">
        <v>1172.5</v>
      </c>
      <c r="G95" s="16">
        <f t="shared" si="52"/>
        <v>-0.51426247371749778</v>
      </c>
      <c r="H95" s="14">
        <f t="shared" si="45"/>
        <v>7.0668935003204343</v>
      </c>
      <c r="I95" s="17">
        <v>197888</v>
      </c>
      <c r="J95" s="15">
        <v>-637</v>
      </c>
      <c r="K95" s="14">
        <f t="shared" si="46"/>
        <v>-0.32189925614489001</v>
      </c>
      <c r="L95" s="16">
        <f t="shared" si="53"/>
        <v>-0.95243759158811603</v>
      </c>
      <c r="M95" s="14">
        <v>1.0635156673797794</v>
      </c>
      <c r="N95" s="16">
        <f t="shared" si="54"/>
        <v>1.5380319853253162</v>
      </c>
      <c r="O95" s="14">
        <v>1.56</v>
      </c>
      <c r="P95" s="17">
        <v>-0.14999999999999991</v>
      </c>
      <c r="Q95" s="14">
        <v>45232</v>
      </c>
      <c r="R95" s="14">
        <f>[1]Feuil1!J129/panel_choc_taux_suisse_2014_202!Q95</f>
        <v>15307.138956196201</v>
      </c>
      <c r="S95" s="14">
        <v>44.4</v>
      </c>
      <c r="T95" s="17">
        <f t="shared" si="47"/>
        <v>-0.68678563159791517</v>
      </c>
      <c r="U95" s="17">
        <f t="shared" si="48"/>
        <v>0.37169689181871463</v>
      </c>
      <c r="V95" s="14">
        <v>73204.870370000004</v>
      </c>
      <c r="W95" s="16">
        <f t="shared" si="55"/>
        <v>-0.87320005719740879</v>
      </c>
      <c r="X95" s="14">
        <f t="shared" si="49"/>
        <v>11.201017232845331</v>
      </c>
      <c r="Y95" s="14">
        <v>3.2</v>
      </c>
      <c r="Z95" s="16">
        <f t="shared" si="56"/>
        <v>0.57415050147287561</v>
      </c>
      <c r="AA95" s="14">
        <f t="shared" si="57"/>
        <v>1.1631508098056809</v>
      </c>
      <c r="AB95" s="14">
        <v>41350</v>
      </c>
      <c r="AC95" s="17">
        <v>1296</v>
      </c>
      <c r="AD95" s="14">
        <f t="shared" si="50"/>
        <v>6.5491591203104783E-3</v>
      </c>
      <c r="AE95" s="14">
        <f t="shared" si="51"/>
        <v>-0.15754436988960027</v>
      </c>
      <c r="AF95" s="14">
        <f t="shared" si="58"/>
        <v>2.3631655483440026E-2</v>
      </c>
      <c r="AG95" s="14">
        <f t="shared" si="59"/>
        <v>2.3356750463683292E-2</v>
      </c>
      <c r="AH95" s="14">
        <f t="shared" si="60"/>
        <v>0.24854900733522287</v>
      </c>
      <c r="AI95" s="14">
        <f t="shared" si="69"/>
        <v>-4.9599604838137523E-3</v>
      </c>
      <c r="AJ95" s="14">
        <f t="shared" si="70"/>
        <v>1.7761589210716189E-2</v>
      </c>
      <c r="AK95" s="14">
        <f t="shared" si="71"/>
        <v>-9.9999999999999645E-2</v>
      </c>
      <c r="AL95" s="14">
        <f t="shared" si="72"/>
        <v>3.9920212695374602E-3</v>
      </c>
    </row>
    <row r="96" spans="1:38" ht="17.25" customHeight="1" x14ac:dyDescent="0.2">
      <c r="A96" s="19" t="s">
        <v>16</v>
      </c>
      <c r="B96" s="19">
        <v>2018</v>
      </c>
      <c r="C96" s="14">
        <v>1</v>
      </c>
      <c r="D96" s="14">
        <v>0</v>
      </c>
      <c r="E96" s="14">
        <v>0</v>
      </c>
      <c r="F96" s="14">
        <v>1184.5</v>
      </c>
      <c r="G96" s="16">
        <f t="shared" si="52"/>
        <v>-0.45343399581049187</v>
      </c>
      <c r="H96" s="14">
        <f t="shared" si="45"/>
        <v>7.0770760235988401</v>
      </c>
      <c r="I96" s="17">
        <v>198379</v>
      </c>
      <c r="J96" s="15">
        <v>-217</v>
      </c>
      <c r="K96" s="14">
        <f t="shared" si="46"/>
        <v>-0.10938657821644429</v>
      </c>
      <c r="L96" s="16">
        <f t="shared" si="53"/>
        <v>-0.2949267281618414</v>
      </c>
      <c r="M96" s="14">
        <v>1.0301138707197743</v>
      </c>
      <c r="N96" s="16">
        <f t="shared" si="54"/>
        <v>0.14360416774800241</v>
      </c>
      <c r="O96" s="14">
        <v>1.5</v>
      </c>
      <c r="P96" s="17">
        <v>-6.0000000000000053E-2</v>
      </c>
      <c r="Q96" s="14">
        <v>43485</v>
      </c>
      <c r="R96" s="14">
        <f>[1]Feuil1!J130/panel_choc_taux_suisse_2014_202!Q96</f>
        <v>16346.766476179526</v>
      </c>
      <c r="S96" s="14">
        <v>43.2</v>
      </c>
      <c r="T96" s="17">
        <f t="shared" si="47"/>
        <v>-0.66930273535976581</v>
      </c>
      <c r="U96" s="17">
        <f t="shared" si="48"/>
        <v>0.25054203364128208</v>
      </c>
      <c r="V96" s="14">
        <v>73570.894719999997</v>
      </c>
      <c r="W96" s="16">
        <f t="shared" si="55"/>
        <v>-0.85243325506134116</v>
      </c>
      <c r="X96" s="14">
        <f t="shared" si="49"/>
        <v>11.206004774331223</v>
      </c>
      <c r="Y96" s="14">
        <v>3.2</v>
      </c>
      <c r="Z96" s="16">
        <f t="shared" si="56"/>
        <v>0.57415050147287561</v>
      </c>
      <c r="AA96" s="14">
        <f t="shared" si="57"/>
        <v>1.1631508098056809</v>
      </c>
      <c r="AB96" s="14">
        <v>42306</v>
      </c>
      <c r="AC96" s="17">
        <v>1477</v>
      </c>
      <c r="AD96" s="14">
        <f t="shared" si="50"/>
        <v>7.4453445173128206E-3</v>
      </c>
      <c r="AE96" s="14">
        <f t="shared" si="51"/>
        <v>-0.20938035085924186</v>
      </c>
      <c r="AF96" s="14">
        <f t="shared" si="58"/>
        <v>1.2562821051554523E-2</v>
      </c>
      <c r="AG96" s="14">
        <f t="shared" si="59"/>
        <v>1.2484563556832562E-2</v>
      </c>
      <c r="AH96" s="14">
        <f t="shared" si="60"/>
        <v>0.13472117374344564</v>
      </c>
      <c r="AI96" s="14">
        <f t="shared" si="69"/>
        <v>1.0182523278405853E-2</v>
      </c>
      <c r="AJ96" s="14">
        <f t="shared" si="70"/>
        <v>0.21251267792844572</v>
      </c>
      <c r="AK96" s="14">
        <f t="shared" si="71"/>
        <v>0</v>
      </c>
      <c r="AL96" s="14">
        <f t="shared" si="72"/>
        <v>4.9875414858924216E-3</v>
      </c>
    </row>
    <row r="97" spans="1:38" ht="17.25" customHeight="1" x14ac:dyDescent="0.2">
      <c r="A97" s="19" t="s">
        <v>16</v>
      </c>
      <c r="B97" s="19">
        <v>2019</v>
      </c>
      <c r="C97" s="14">
        <v>1</v>
      </c>
      <c r="D97" s="14">
        <v>0</v>
      </c>
      <c r="E97" s="14">
        <v>0</v>
      </c>
      <c r="F97" s="14">
        <v>1212.83</v>
      </c>
      <c r="G97" s="16">
        <f t="shared" si="52"/>
        <v>-0.30982809755170243</v>
      </c>
      <c r="H97" s="14">
        <f t="shared" si="45"/>
        <v>7.1007117507299311</v>
      </c>
      <c r="I97" s="17">
        <v>199021</v>
      </c>
      <c r="J97" s="15">
        <v>-80</v>
      </c>
      <c r="K97" s="14">
        <f t="shared" si="46"/>
        <v>-4.0196763155646895E-2</v>
      </c>
      <c r="L97" s="16">
        <f t="shared" si="53"/>
        <v>-8.0854534990161778E-2</v>
      </c>
      <c r="M97" s="14">
        <v>1.036888899675622</v>
      </c>
      <c r="N97" s="16">
        <f t="shared" si="54"/>
        <v>0.42644191258817377</v>
      </c>
      <c r="O97" s="14">
        <v>1.43</v>
      </c>
      <c r="P97" s="17">
        <v>-7.0000000000000062E-2</v>
      </c>
      <c r="Q97" s="14">
        <v>43911</v>
      </c>
      <c r="R97" s="14">
        <f>[1]Feuil1!J131/panel_choc_taux_suisse_2014_202!Q97</f>
        <v>16628.333520833807</v>
      </c>
      <c r="S97" s="14">
        <v>42.2</v>
      </c>
      <c r="T97" s="17">
        <f t="shared" si="47"/>
        <v>-0.66456776314024224</v>
      </c>
      <c r="U97" s="17">
        <f t="shared" si="48"/>
        <v>0.14957965182675462</v>
      </c>
      <c r="V97" s="14">
        <v>74233</v>
      </c>
      <c r="W97" s="16">
        <f t="shared" si="55"/>
        <v>-0.81486796919168258</v>
      </c>
      <c r="X97" s="14">
        <f t="shared" si="49"/>
        <v>11.214964074221511</v>
      </c>
      <c r="Y97" s="14">
        <v>2.9</v>
      </c>
      <c r="Z97" s="16">
        <f t="shared" si="56"/>
        <v>0.3157330801521353</v>
      </c>
      <c r="AA97" s="14">
        <f t="shared" si="57"/>
        <v>1.0647107369924282</v>
      </c>
      <c r="AB97" s="14">
        <v>43173</v>
      </c>
      <c r="AC97" s="17">
        <v>1294</v>
      </c>
      <c r="AD97" s="14">
        <f t="shared" si="50"/>
        <v>6.5018264404258846E-3</v>
      </c>
      <c r="AE97" s="14">
        <f t="shared" si="51"/>
        <v>-0.25749405565674383</v>
      </c>
      <c r="AF97" s="14">
        <f t="shared" si="58"/>
        <v>1.8024583895972085E-2</v>
      </c>
      <c r="AG97" s="14">
        <f t="shared" si="59"/>
        <v>1.7864067046932181E-2</v>
      </c>
      <c r="AH97" s="14">
        <f t="shared" si="60"/>
        <v>0.19088793962994299</v>
      </c>
      <c r="AI97" s="14">
        <f t="shared" si="69"/>
        <v>2.3635727131090967E-2</v>
      </c>
      <c r="AJ97" s="14">
        <f t="shared" si="70"/>
        <v>6.9189815060797397E-2</v>
      </c>
      <c r="AK97" s="14">
        <f t="shared" si="71"/>
        <v>-0.30000000000000027</v>
      </c>
      <c r="AL97" s="14">
        <f t="shared" si="72"/>
        <v>8.9592998902876531E-3</v>
      </c>
    </row>
    <row r="98" spans="1:38" ht="17.25" customHeight="1" x14ac:dyDescent="0.2">
      <c r="A98" s="19" t="s">
        <v>16</v>
      </c>
      <c r="B98" s="19">
        <v>2020</v>
      </c>
      <c r="C98" s="14">
        <v>1</v>
      </c>
      <c r="D98" s="14">
        <v>0</v>
      </c>
      <c r="E98" s="14">
        <v>0</v>
      </c>
      <c r="F98" s="14">
        <v>1220.5</v>
      </c>
      <c r="G98" s="16">
        <f t="shared" si="52"/>
        <v>-0.2709485620894741</v>
      </c>
      <c r="H98" s="14">
        <f t="shared" si="45"/>
        <v>7.1070158898330149</v>
      </c>
      <c r="I98" s="17">
        <v>200096</v>
      </c>
      <c r="J98" s="15">
        <v>-148</v>
      </c>
      <c r="K98" s="14">
        <f t="shared" si="46"/>
        <v>-7.3964497041420121E-2</v>
      </c>
      <c r="L98" s="16">
        <f t="shared" si="53"/>
        <v>-0.18533136940593811</v>
      </c>
      <c r="M98" s="14">
        <v>1.0413346451454319</v>
      </c>
      <c r="N98" s="16">
        <f t="shared" si="54"/>
        <v>0.61203884966534006</v>
      </c>
      <c r="O98" s="14">
        <v>1.33</v>
      </c>
      <c r="P98" s="17">
        <v>-9.9999999999999867E-2</v>
      </c>
      <c r="Q98" s="14">
        <v>43590</v>
      </c>
      <c r="R98" s="14">
        <f>[1]Feuil1!J132/panel_choc_taux_suisse_2014_202!Q98</f>
        <v>17192.401175154853</v>
      </c>
      <c r="S98" s="14">
        <v>41.3</v>
      </c>
      <c r="T98" s="17">
        <f t="shared" si="47"/>
        <v>-0.6550821194051194</v>
      </c>
      <c r="U98" s="17">
        <f t="shared" si="48"/>
        <v>5.8713508193679341E-2</v>
      </c>
      <c r="V98" s="14">
        <v>74826.897029999993</v>
      </c>
      <c r="W98" s="16">
        <f t="shared" si="55"/>
        <v>-0.7811725549078834</v>
      </c>
      <c r="X98" s="14">
        <f t="shared" si="49"/>
        <v>11.222932685289598</v>
      </c>
      <c r="Y98" s="14">
        <v>3.6</v>
      </c>
      <c r="Z98" s="16">
        <f t="shared" si="56"/>
        <v>0.91870706323386231</v>
      </c>
      <c r="AA98" s="14">
        <f t="shared" si="57"/>
        <v>1.2809338454620642</v>
      </c>
      <c r="AB98" s="14">
        <v>44150</v>
      </c>
      <c r="AC98" s="17">
        <v>1250</v>
      </c>
      <c r="AD98" s="14">
        <f t="shared" si="50"/>
        <v>6.2470014393091319E-3</v>
      </c>
      <c r="AE98" s="14">
        <f t="shared" si="51"/>
        <v>-0.29818430560572001</v>
      </c>
      <c r="AF98" s="14">
        <f t="shared" si="58"/>
        <v>2.981843056057196E-2</v>
      </c>
      <c r="AG98" s="14">
        <f t="shared" si="59"/>
        <v>2.9382505693067676E-2</v>
      </c>
      <c r="AH98" s="14">
        <f t="shared" si="60"/>
        <v>0.31217153311091717</v>
      </c>
      <c r="AI98" s="14">
        <f t="shared" si="69"/>
        <v>6.3041391030838057E-3</v>
      </c>
      <c r="AJ98" s="14">
        <f t="shared" si="70"/>
        <v>-3.3767733885773227E-2</v>
      </c>
      <c r="AK98" s="14">
        <f t="shared" si="71"/>
        <v>0.70000000000000018</v>
      </c>
      <c r="AL98" s="14">
        <f t="shared" si="72"/>
        <v>7.9686110680867728E-3</v>
      </c>
    </row>
    <row r="99" spans="1:38" ht="17.25" customHeight="1" x14ac:dyDescent="0.2">
      <c r="A99" s="19" t="s">
        <v>16</v>
      </c>
      <c r="B99" s="19">
        <v>2021</v>
      </c>
      <c r="C99" s="14">
        <v>1</v>
      </c>
      <c r="D99" s="14">
        <v>0</v>
      </c>
      <c r="E99" s="14">
        <v>0</v>
      </c>
      <c r="F99" s="14">
        <v>1227.33</v>
      </c>
      <c r="G99" s="16">
        <f t="shared" si="52"/>
        <v>-0.23632702008073692</v>
      </c>
      <c r="H99" s="14">
        <f t="shared" si="45"/>
        <v>7.1125963572059616</v>
      </c>
      <c r="I99" s="17">
        <v>201376</v>
      </c>
      <c r="J99" s="15">
        <v>34</v>
      </c>
      <c r="K99" s="14">
        <f t="shared" si="46"/>
        <v>1.6883839186397586E-2</v>
      </c>
      <c r="L99" s="16">
        <f t="shared" si="53"/>
        <v>9.5751945605063948E-2</v>
      </c>
      <c r="M99" s="14">
        <v>1.0457435779736526</v>
      </c>
      <c r="N99" s="16">
        <f t="shared" si="54"/>
        <v>0.79609896607405228</v>
      </c>
      <c r="O99" s="14">
        <v>1.25</v>
      </c>
      <c r="P99" s="17">
        <v>-8.0000000000000071E-2</v>
      </c>
      <c r="Q99" s="14">
        <v>43271</v>
      </c>
      <c r="R99" s="14">
        <f>[1]Feuil1!J133/panel_choc_taux_suisse_2014_202!Q99</f>
        <v>17867.620023803469</v>
      </c>
      <c r="S99" s="14">
        <v>41.4</v>
      </c>
      <c r="T99" s="17">
        <f t="shared" si="47"/>
        <v>-0.64372730160541769</v>
      </c>
      <c r="U99" s="17">
        <f t="shared" si="48"/>
        <v>6.8809746375132222E-2</v>
      </c>
      <c r="V99" s="14">
        <v>74677.243239999996</v>
      </c>
      <c r="W99" s="16">
        <f t="shared" si="55"/>
        <v>-0.78966333057852556</v>
      </c>
      <c r="X99" s="14">
        <f t="shared" si="49"/>
        <v>11.220930682673291</v>
      </c>
      <c r="Y99" s="14">
        <v>3.3</v>
      </c>
      <c r="Z99" s="16">
        <f t="shared" si="56"/>
        <v>0.66028964191312201</v>
      </c>
      <c r="AA99" s="14">
        <f t="shared" si="57"/>
        <v>1.1939224684724346</v>
      </c>
      <c r="AB99" s="14">
        <v>45104</v>
      </c>
      <c r="AC99" s="17">
        <v>1078</v>
      </c>
      <c r="AD99" s="14">
        <f t="shared" si="50"/>
        <v>5.3531701890989986E-3</v>
      </c>
      <c r="AE99" s="14">
        <f t="shared" si="51"/>
        <v>-0.28745877761514271</v>
      </c>
      <c r="AF99" s="14">
        <f t="shared" si="58"/>
        <v>2.2996702209211437E-2</v>
      </c>
      <c r="AG99" s="14">
        <f t="shared" si="59"/>
        <v>2.2736263317383851E-2</v>
      </c>
      <c r="AH99" s="14">
        <f t="shared" si="60"/>
        <v>0.24201938074425625</v>
      </c>
      <c r="AI99" s="14">
        <f t="shared" si="69"/>
        <v>5.5804673729467069E-3</v>
      </c>
      <c r="AJ99" s="14">
        <f t="shared" si="70"/>
        <v>9.0848336227817711E-2</v>
      </c>
      <c r="AK99" s="14">
        <f t="shared" si="71"/>
        <v>-0.30000000000000027</v>
      </c>
      <c r="AL99" s="14">
        <f t="shared" si="72"/>
        <v>-2.002002616306342E-3</v>
      </c>
    </row>
    <row r="100" spans="1:38" ht="17.25" customHeight="1" x14ac:dyDescent="0.2">
      <c r="A100" s="19" t="s">
        <v>16</v>
      </c>
      <c r="B100" s="19">
        <v>2022</v>
      </c>
      <c r="C100" s="14">
        <v>1</v>
      </c>
      <c r="D100" s="14">
        <v>0</v>
      </c>
      <c r="E100" s="14">
        <v>0</v>
      </c>
      <c r="F100" s="14">
        <v>1263.33</v>
      </c>
      <c r="G100" s="16">
        <f t="shared" si="52"/>
        <v>-5.3841586359719133E-2</v>
      </c>
      <c r="H100" s="14">
        <f t="shared" si="45"/>
        <v>7.1415063708824542</v>
      </c>
      <c r="I100" s="17">
        <v>202538</v>
      </c>
      <c r="J100" s="15">
        <v>-140</v>
      </c>
      <c r="K100" s="14">
        <f t="shared" si="46"/>
        <v>-6.9122831271168875E-2</v>
      </c>
      <c r="L100" s="16">
        <f t="shared" si="53"/>
        <v>-0.17035133211098094</v>
      </c>
      <c r="M100" s="14">
        <v>0.98600652141555722</v>
      </c>
      <c r="N100" s="16">
        <f t="shared" si="54"/>
        <v>-1.6977493215702677</v>
      </c>
      <c r="O100" s="14">
        <v>1.21</v>
      </c>
      <c r="P100" s="17">
        <v>-4.0000000000000036E-2</v>
      </c>
      <c r="Q100" s="14">
        <v>43692</v>
      </c>
      <c r="R100" s="14">
        <f>[1]Feuil1!J134/panel_choc_taux_suisse_2014_202!Q100</f>
        <v>18221.470691812385</v>
      </c>
      <c r="S100" s="14">
        <v>41.7</v>
      </c>
      <c r="T100" s="17">
        <f t="shared" si="47"/>
        <v>-0.63777677183038917</v>
      </c>
      <c r="U100" s="17">
        <f t="shared" si="48"/>
        <v>9.9098460919490899E-2</v>
      </c>
      <c r="V100" s="14">
        <v>75349.338430000003</v>
      </c>
      <c r="W100" s="16">
        <f t="shared" si="55"/>
        <v>-0.75153125595744319</v>
      </c>
      <c r="X100" s="14">
        <f t="shared" si="49"/>
        <v>11.229890424055911</v>
      </c>
      <c r="Y100" s="14">
        <v>2.5</v>
      </c>
      <c r="Z100" s="16">
        <f t="shared" si="56"/>
        <v>-2.882348160885137E-2</v>
      </c>
      <c r="AA100" s="14">
        <f t="shared" si="57"/>
        <v>0.91629073187415511</v>
      </c>
      <c r="AB100" s="14">
        <v>46125</v>
      </c>
      <c r="AC100" s="17">
        <v>1126</v>
      </c>
      <c r="AD100" s="14">
        <f t="shared" si="50"/>
        <v>5.5594505722382963E-3</v>
      </c>
      <c r="AE100" s="14">
        <f t="shared" si="51"/>
        <v>-0.26933915545544912</v>
      </c>
      <c r="AF100" s="14">
        <f t="shared" si="58"/>
        <v>1.0773566218217975E-2</v>
      </c>
      <c r="AG100" s="14">
        <f t="shared" si="59"/>
        <v>1.0715944842717781E-2</v>
      </c>
      <c r="AH100" s="14">
        <f t="shared" si="60"/>
        <v>0.1163211332806828</v>
      </c>
      <c r="AI100" s="14">
        <f t="shared" si="69"/>
        <v>2.8910013676492596E-2</v>
      </c>
      <c r="AJ100" s="14">
        <f t="shared" si="70"/>
        <v>-8.6006670457566464E-2</v>
      </c>
      <c r="AK100" s="14">
        <f t="shared" si="71"/>
        <v>-0.79999999999999982</v>
      </c>
      <c r="AL100" s="14">
        <f t="shared" si="72"/>
        <v>8.9597413826201233E-3</v>
      </c>
    </row>
    <row r="101" spans="1:38" ht="17.25" customHeight="1" x14ac:dyDescent="0.2">
      <c r="A101" s="19" t="s">
        <v>16</v>
      </c>
      <c r="B101" s="19">
        <v>2023</v>
      </c>
      <c r="C101" s="14">
        <v>1</v>
      </c>
      <c r="D101" s="14">
        <v>0</v>
      </c>
      <c r="E101" s="14">
        <v>0</v>
      </c>
      <c r="F101" s="14">
        <v>1373.86</v>
      </c>
      <c r="G101" s="16">
        <f t="shared" si="52"/>
        <v>0.50643938556206125</v>
      </c>
      <c r="H101" s="14">
        <f t="shared" si="45"/>
        <v>7.2253795753056247</v>
      </c>
      <c r="I101" s="17">
        <v>204888</v>
      </c>
      <c r="J101" s="15">
        <v>-273</v>
      </c>
      <c r="K101" s="14">
        <f t="shared" si="46"/>
        <v>-0.1332435281714888</v>
      </c>
      <c r="L101" s="16">
        <f t="shared" si="53"/>
        <v>-0.36873975389078345</v>
      </c>
      <c r="M101" s="14">
        <v>1.0341430614279774</v>
      </c>
      <c r="N101" s="16">
        <f t="shared" si="54"/>
        <v>0.31181115562449047</v>
      </c>
      <c r="O101" s="14">
        <v>1.48</v>
      </c>
      <c r="P101" s="17">
        <v>0.27</v>
      </c>
      <c r="Q101" s="14">
        <v>44463</v>
      </c>
      <c r="R101" s="14">
        <f>[1]Feuil1!J135/panel_choc_taux_suisse_2014_202!Q101</f>
        <v>18286.852924716433</v>
      </c>
      <c r="S101" s="14">
        <v>41.7</v>
      </c>
      <c r="T101" s="17">
        <f t="shared" si="47"/>
        <v>-0.63667727150771758</v>
      </c>
      <c r="U101" s="17">
        <f t="shared" si="48"/>
        <v>9.9098460919490899E-2</v>
      </c>
      <c r="V101" s="14">
        <v>88158.725959999996</v>
      </c>
      <c r="W101" s="16">
        <f t="shared" si="55"/>
        <v>-2.4776283727517227E-2</v>
      </c>
      <c r="X101" s="14">
        <f t="shared" si="49"/>
        <v>11.386894172830413</v>
      </c>
      <c r="Y101" s="14">
        <v>2.5</v>
      </c>
      <c r="Z101" s="16">
        <f t="shared" si="56"/>
        <v>-2.882348160885137E-2</v>
      </c>
      <c r="AA101" s="14">
        <f t="shared" si="57"/>
        <v>0.91629073187415511</v>
      </c>
      <c r="AB101" s="14">
        <v>47249</v>
      </c>
      <c r="AC101" s="17">
        <v>1215</v>
      </c>
      <c r="AD101" s="14">
        <f t="shared" si="50"/>
        <v>5.9300691109288976E-3</v>
      </c>
      <c r="AE101" s="14">
        <f t="shared" si="51"/>
        <v>-0.26878940529411333</v>
      </c>
      <c r="AF101" s="14">
        <f t="shared" si="58"/>
        <v>-7.2573139429410599E-2</v>
      </c>
      <c r="AG101" s="14">
        <f t="shared" si="59"/>
        <v>-7.5341344137552668E-2</v>
      </c>
      <c r="AH101" s="14">
        <f t="shared" si="60"/>
        <v>-0.74078581860865222</v>
      </c>
      <c r="AI101" s="14">
        <f t="shared" si="69"/>
        <v>8.3873204423170478E-2</v>
      </c>
      <c r="AJ101" s="14">
        <f t="shared" si="70"/>
        <v>-6.4120696900319921E-2</v>
      </c>
      <c r="AK101" s="14">
        <f t="shared" si="71"/>
        <v>0</v>
      </c>
      <c r="AL101" s="14">
        <f t="shared" si="72"/>
        <v>0.15700374877450152</v>
      </c>
    </row>
    <row r="102" spans="1:38" ht="17.25" customHeight="1" x14ac:dyDescent="0.2">
      <c r="A102" s="19" t="s">
        <v>15</v>
      </c>
      <c r="B102" s="19">
        <v>2014</v>
      </c>
      <c r="C102" s="14">
        <v>1</v>
      </c>
      <c r="D102" s="14">
        <v>0</v>
      </c>
      <c r="E102" s="14">
        <v>0</v>
      </c>
      <c r="F102" s="14">
        <v>883.5</v>
      </c>
      <c r="G102" s="16">
        <f t="shared" si="52"/>
        <v>-1.979214983311224</v>
      </c>
      <c r="H102" s="14">
        <f t="shared" si="45"/>
        <v>6.7838912917597511</v>
      </c>
      <c r="I102" s="17">
        <v>72410</v>
      </c>
      <c r="J102" s="15">
        <v>123</v>
      </c>
      <c r="K102" s="14">
        <f t="shared" si="46"/>
        <v>0.16986604060212679</v>
      </c>
      <c r="L102" s="16">
        <f t="shared" si="53"/>
        <v>0.56907645651060512</v>
      </c>
      <c r="M102" s="14">
        <v>1.0281149308624065</v>
      </c>
      <c r="N102" s="16">
        <f t="shared" si="54"/>
        <v>6.0154245243822686E-2</v>
      </c>
      <c r="O102" s="14">
        <v>1.95</v>
      </c>
      <c r="P102" s="17">
        <v>0</v>
      </c>
      <c r="Q102" s="14">
        <v>48199</v>
      </c>
      <c r="R102" s="14">
        <f>[1]Feuil1!J136/panel_choc_taux_suisse_2014_202!Q102</f>
        <v>13170.653609687615</v>
      </c>
      <c r="S102" s="14">
        <v>49.2</v>
      </c>
      <c r="T102" s="17">
        <f t="shared" si="47"/>
        <v>-0.72271383752683804</v>
      </c>
      <c r="U102" s="17">
        <f t="shared" si="48"/>
        <v>0.85631632452844686</v>
      </c>
      <c r="V102" s="14">
        <v>68044.949470000007</v>
      </c>
      <c r="W102" s="16">
        <f t="shared" si="55"/>
        <v>-1.1659539583191836</v>
      </c>
      <c r="X102" s="14">
        <f t="shared" si="49"/>
        <v>11.127923787397332</v>
      </c>
      <c r="Y102" s="14">
        <v>3.7</v>
      </c>
      <c r="Z102" s="16">
        <f t="shared" si="56"/>
        <v>1.004846203674109</v>
      </c>
      <c r="AA102" s="14">
        <f t="shared" si="57"/>
        <v>1.3083328196501789</v>
      </c>
      <c r="AB102" s="14">
        <v>13791</v>
      </c>
      <c r="AC102" s="17">
        <v>388</v>
      </c>
      <c r="AD102" s="14">
        <f t="shared" si="50"/>
        <v>5.3583759149288769E-3</v>
      </c>
      <c r="AE102" s="14">
        <f t="shared" si="51"/>
        <v>6.6801243500804408E-2</v>
      </c>
      <c r="AF102" s="14">
        <f t="shared" si="58"/>
        <v>0</v>
      </c>
      <c r="AG102" s="14">
        <f t="shared" si="59"/>
        <v>0</v>
      </c>
      <c r="AH102" s="14">
        <f t="shared" si="60"/>
        <v>5.5297297030243815E-3</v>
      </c>
      <c r="AI102" s="14">
        <v>0</v>
      </c>
      <c r="AJ102" s="14">
        <v>0</v>
      </c>
      <c r="AK102" s="14">
        <v>0</v>
      </c>
      <c r="AL102" s="14">
        <v>0</v>
      </c>
    </row>
    <row r="103" spans="1:38" ht="17.25" customHeight="1" x14ac:dyDescent="0.2">
      <c r="A103" s="19" t="s">
        <v>15</v>
      </c>
      <c r="B103" s="19">
        <v>2015</v>
      </c>
      <c r="C103" s="14">
        <v>1</v>
      </c>
      <c r="D103" s="14">
        <v>0</v>
      </c>
      <c r="E103" s="14">
        <v>0</v>
      </c>
      <c r="F103" s="14">
        <v>863.83</v>
      </c>
      <c r="G103" s="16">
        <f t="shared" si="52"/>
        <v>-2.0789229966804577</v>
      </c>
      <c r="H103" s="14">
        <f t="shared" si="45"/>
        <v>6.7613759901851536</v>
      </c>
      <c r="I103" s="17">
        <v>72782</v>
      </c>
      <c r="J103" s="15">
        <v>-136</v>
      </c>
      <c r="K103" s="14">
        <f t="shared" si="46"/>
        <v>-0.1868593883102965</v>
      </c>
      <c r="L103" s="16">
        <f t="shared" si="53"/>
        <v>-0.53462637692359716</v>
      </c>
      <c r="M103" s="14">
        <v>1.0174024043472965</v>
      </c>
      <c r="N103" s="16">
        <f t="shared" si="54"/>
        <v>-0.38706256531446542</v>
      </c>
      <c r="O103" s="14">
        <v>1.84</v>
      </c>
      <c r="P103" s="17">
        <v>-0.10999999999999988</v>
      </c>
      <c r="Q103" s="14">
        <v>48252</v>
      </c>
      <c r="R103" s="14">
        <f>[1]Feuil1!J137/panel_choc_taux_suisse_2014_202!Q103</f>
        <v>13596.994682258421</v>
      </c>
      <c r="S103" s="14">
        <v>48.8</v>
      </c>
      <c r="T103" s="17">
        <f t="shared" si="47"/>
        <v>-0.71554427286012334</v>
      </c>
      <c r="U103" s="17">
        <f t="shared" si="48"/>
        <v>0.81593137180263531</v>
      </c>
      <c r="V103" s="14">
        <v>68317.129270000005</v>
      </c>
      <c r="W103" s="16">
        <f t="shared" si="55"/>
        <v>-1.1505115320105663</v>
      </c>
      <c r="X103" s="14">
        <f t="shared" si="49"/>
        <v>11.131915808697901</v>
      </c>
      <c r="Y103" s="14">
        <v>4</v>
      </c>
      <c r="Z103" s="16">
        <f t="shared" si="56"/>
        <v>1.263263624994849</v>
      </c>
      <c r="AA103" s="14">
        <f t="shared" si="57"/>
        <v>1.3862943611198906</v>
      </c>
      <c r="AB103" s="14">
        <v>14226</v>
      </c>
      <c r="AC103" s="17">
        <v>290</v>
      </c>
      <c r="AD103" s="14">
        <f t="shared" si="50"/>
        <v>3.9845016624989694E-3</v>
      </c>
      <c r="AE103" s="14">
        <f t="shared" si="51"/>
        <v>5.0193549471255983E-2</v>
      </c>
      <c r="AF103" s="14">
        <f t="shared" si="58"/>
        <v>-5.5212904418381519E-3</v>
      </c>
      <c r="AG103" s="14">
        <f t="shared" si="59"/>
        <v>-5.5365891041345618E-3</v>
      </c>
      <c r="AH103" s="14">
        <f t="shared" si="60"/>
        <v>-5.1249196162466808E-2</v>
      </c>
      <c r="AI103" s="14">
        <f t="shared" ref="AI103:AI111" si="73">LN(F103)-LN(F102)</f>
        <v>-2.2515301574597579E-2</v>
      </c>
      <c r="AJ103" s="14">
        <f t="shared" ref="AJ103:AJ111" si="74">K103-K102</f>
        <v>-0.35672542891242331</v>
      </c>
      <c r="AK103" s="14">
        <f t="shared" ref="AK103:AK111" si="75">Y103-Y102</f>
        <v>0.29999999999999982</v>
      </c>
      <c r="AL103" s="14">
        <f t="shared" ref="AL103:AL111" si="76">LN(V103)-LN(V102)</f>
        <v>3.9920213005686378E-3</v>
      </c>
    </row>
    <row r="104" spans="1:38" ht="17.25" customHeight="1" x14ac:dyDescent="0.2">
      <c r="A104" s="19" t="s">
        <v>15</v>
      </c>
      <c r="B104" s="19">
        <v>2016</v>
      </c>
      <c r="C104" s="14">
        <v>1</v>
      </c>
      <c r="D104" s="14">
        <v>0</v>
      </c>
      <c r="E104" s="14">
        <v>0</v>
      </c>
      <c r="F104" s="14">
        <v>866</v>
      </c>
      <c r="G104" s="16">
        <f t="shared" si="52"/>
        <v>-2.0679231802589411</v>
      </c>
      <c r="H104" s="14">
        <f t="shared" si="45"/>
        <v>6.7638849085624351</v>
      </c>
      <c r="I104" s="17">
        <v>73122</v>
      </c>
      <c r="J104" s="15">
        <v>36</v>
      </c>
      <c r="K104" s="14">
        <f t="shared" si="46"/>
        <v>4.9232789037498975E-2</v>
      </c>
      <c r="L104" s="16">
        <f t="shared" si="53"/>
        <v>0.1958390846636221</v>
      </c>
      <c r="M104" s="14">
        <v>0.98347652295718835</v>
      </c>
      <c r="N104" s="16">
        <f t="shared" si="54"/>
        <v>-1.8033693953850858</v>
      </c>
      <c r="O104" s="14">
        <v>1.71</v>
      </c>
      <c r="P104" s="17">
        <v>-0.13000000000000012</v>
      </c>
      <c r="Q104" s="14">
        <v>49659</v>
      </c>
      <c r="R104" s="14">
        <f>[1]Feuil1!J138/panel_choc_taux_suisse_2014_202!Q104</f>
        <v>13604.444127281391</v>
      </c>
      <c r="S104" s="14">
        <v>51.1</v>
      </c>
      <c r="T104" s="17">
        <f t="shared" si="47"/>
        <v>-0.71541899926754804</v>
      </c>
      <c r="U104" s="17">
        <f t="shared" si="48"/>
        <v>1.0481448499760488</v>
      </c>
      <c r="V104" s="14">
        <v>68795.349180000005</v>
      </c>
      <c r="W104" s="16">
        <f t="shared" si="55"/>
        <v>-1.1233791889068951</v>
      </c>
      <c r="X104" s="14">
        <f t="shared" si="49"/>
        <v>11.138891422508603</v>
      </c>
      <c r="Y104" s="14">
        <v>4.5999999999999996</v>
      </c>
      <c r="Z104" s="16">
        <f t="shared" si="56"/>
        <v>1.780098467636329</v>
      </c>
      <c r="AA104" s="14">
        <f t="shared" si="57"/>
        <v>1.5260563034950492</v>
      </c>
      <c r="AB104" s="14">
        <v>14521</v>
      </c>
      <c r="AC104" s="17">
        <v>380</v>
      </c>
      <c r="AD104" s="14">
        <f t="shared" si="50"/>
        <v>5.1967943984026696E-3</v>
      </c>
      <c r="AE104" s="14">
        <f t="shared" si="51"/>
        <v>0.1663629253542504</v>
      </c>
      <c r="AF104" s="14">
        <f t="shared" si="58"/>
        <v>-2.1627180296052571E-2</v>
      </c>
      <c r="AG104" s="14">
        <f t="shared" si="59"/>
        <v>-2.1864475346703764E-2</v>
      </c>
      <c r="AH104" s="14">
        <f t="shared" si="60"/>
        <v>-0.21687626028151349</v>
      </c>
      <c r="AI104" s="14">
        <f t="shared" si="73"/>
        <v>2.5089183772815105E-3</v>
      </c>
      <c r="AJ104" s="14">
        <f t="shared" si="74"/>
        <v>0.23609217734779547</v>
      </c>
      <c r="AK104" s="14">
        <f t="shared" si="75"/>
        <v>0.59999999999999964</v>
      </c>
      <c r="AL104" s="14">
        <f t="shared" si="76"/>
        <v>6.9756138107024412E-3</v>
      </c>
    </row>
    <row r="105" spans="1:38" ht="17.25" customHeight="1" x14ac:dyDescent="0.2">
      <c r="A105" s="19" t="s">
        <v>15</v>
      </c>
      <c r="B105" s="19">
        <v>2017</v>
      </c>
      <c r="C105" s="14">
        <v>1</v>
      </c>
      <c r="D105" s="14">
        <v>0</v>
      </c>
      <c r="E105" s="14">
        <v>0</v>
      </c>
      <c r="F105" s="14">
        <v>863.17</v>
      </c>
      <c r="G105" s="16">
        <f t="shared" si="52"/>
        <v>-2.0822685629653432</v>
      </c>
      <c r="H105" s="14">
        <f t="shared" si="45"/>
        <v>6.7606116589377523</v>
      </c>
      <c r="I105" s="17">
        <v>73290</v>
      </c>
      <c r="J105" s="15">
        <v>-16</v>
      </c>
      <c r="K105" s="14">
        <f t="shared" si="46"/>
        <v>-2.1831082003001774E-2</v>
      </c>
      <c r="L105" s="16">
        <f t="shared" si="53"/>
        <v>-2.4031408060514362E-2</v>
      </c>
      <c r="M105" s="14">
        <v>1.0635156673797794</v>
      </c>
      <c r="N105" s="16">
        <f t="shared" si="54"/>
        <v>1.5380319853253162</v>
      </c>
      <c r="O105" s="14">
        <v>1.56</v>
      </c>
      <c r="P105" s="17">
        <v>-0.14999999999999991</v>
      </c>
      <c r="Q105" s="14">
        <v>50840</v>
      </c>
      <c r="R105" s="14">
        <f>[1]Feuil1!J139/panel_choc_taux_suisse_2014_202!Q105</f>
        <v>13618.656751901388</v>
      </c>
      <c r="S105" s="14">
        <v>50.4</v>
      </c>
      <c r="T105" s="17">
        <f t="shared" si="47"/>
        <v>-0.71517999266496479</v>
      </c>
      <c r="U105" s="17">
        <f t="shared" si="48"/>
        <v>0.9774711827058794</v>
      </c>
      <c r="V105" s="14">
        <v>69070.530570000003</v>
      </c>
      <c r="W105" s="16">
        <f t="shared" si="55"/>
        <v>-1.107766464022176</v>
      </c>
      <c r="X105" s="14">
        <f t="shared" si="49"/>
        <v>11.14288344368085</v>
      </c>
      <c r="Y105" s="14">
        <v>4.7</v>
      </c>
      <c r="Z105" s="16">
        <f t="shared" si="56"/>
        <v>1.8662376080765761</v>
      </c>
      <c r="AA105" s="14">
        <f t="shared" si="57"/>
        <v>1.547562508716013</v>
      </c>
      <c r="AB105" s="14">
        <v>15086</v>
      </c>
      <c r="AC105" s="17">
        <v>457</v>
      </c>
      <c r="AD105" s="14">
        <f t="shared" si="50"/>
        <v>6.2355027971073814E-3</v>
      </c>
      <c r="AE105" s="14">
        <f t="shared" si="51"/>
        <v>0.13114559502045731</v>
      </c>
      <c r="AF105" s="14">
        <f t="shared" si="58"/>
        <v>-1.9671839253068583E-2</v>
      </c>
      <c r="AG105" s="14">
        <f t="shared" si="59"/>
        <v>-1.9867905464882971E-2</v>
      </c>
      <c r="AH105" s="14">
        <f t="shared" si="60"/>
        <v>-0.19676825015401536</v>
      </c>
      <c r="AI105" s="14">
        <f t="shared" si="73"/>
        <v>-3.2732496246827836E-3</v>
      </c>
      <c r="AJ105" s="14">
        <f t="shared" si="74"/>
        <v>-7.1063871040500742E-2</v>
      </c>
      <c r="AK105" s="14">
        <f t="shared" si="75"/>
        <v>0.10000000000000053</v>
      </c>
      <c r="AL105" s="14">
        <f t="shared" si="76"/>
        <v>3.9920211722463961E-3</v>
      </c>
    </row>
    <row r="106" spans="1:38" ht="17.25" customHeight="1" x14ac:dyDescent="0.2">
      <c r="A106" s="19" t="s">
        <v>15</v>
      </c>
      <c r="B106" s="19">
        <v>2018</v>
      </c>
      <c r="C106" s="14">
        <v>1</v>
      </c>
      <c r="D106" s="14">
        <v>0</v>
      </c>
      <c r="E106" s="14">
        <v>0</v>
      </c>
      <c r="F106" s="14">
        <v>850.67</v>
      </c>
      <c r="G106" s="16">
        <f t="shared" si="52"/>
        <v>-2.1456315607851413</v>
      </c>
      <c r="H106" s="14">
        <f t="shared" si="45"/>
        <v>6.7460242742841912</v>
      </c>
      <c r="I106" s="17">
        <v>73419</v>
      </c>
      <c r="J106" s="15">
        <v>19</v>
      </c>
      <c r="K106" s="14">
        <f t="shared" si="46"/>
        <v>2.5878859695719091E-2</v>
      </c>
      <c r="L106" s="16">
        <f t="shared" si="53"/>
        <v>0.12358239675401808</v>
      </c>
      <c r="M106" s="14">
        <v>1.0301138707197743</v>
      </c>
      <c r="N106" s="16">
        <f t="shared" si="54"/>
        <v>0.14360416774800241</v>
      </c>
      <c r="O106" s="14">
        <v>1.5</v>
      </c>
      <c r="P106" s="17">
        <v>-6.0000000000000053E-2</v>
      </c>
      <c r="Q106" s="14">
        <v>47680</v>
      </c>
      <c r="R106" s="14">
        <f>[1]Feuil1!J140/panel_choc_taux_suisse_2014_202!Q106</f>
        <v>14908.539014611299</v>
      </c>
      <c r="S106" s="14">
        <v>47.7</v>
      </c>
      <c r="T106" s="17">
        <f t="shared" si="47"/>
        <v>-0.6934886875341153</v>
      </c>
      <c r="U106" s="17">
        <f t="shared" si="48"/>
        <v>0.70487275180665565</v>
      </c>
      <c r="V106" s="14">
        <v>69415.883230000007</v>
      </c>
      <c r="W106" s="16">
        <f t="shared" si="55"/>
        <v>-1.0881724934096064</v>
      </c>
      <c r="X106" s="14">
        <f t="shared" si="49"/>
        <v>11.14787098529489</v>
      </c>
      <c r="Y106" s="14">
        <v>3.8</v>
      </c>
      <c r="Z106" s="16">
        <f t="shared" si="56"/>
        <v>1.0909853441143555</v>
      </c>
      <c r="AA106" s="14">
        <f t="shared" si="57"/>
        <v>1.33500106673234</v>
      </c>
      <c r="AB106" s="14">
        <v>15332</v>
      </c>
      <c r="AC106" s="17">
        <v>344</v>
      </c>
      <c r="AD106" s="14">
        <f t="shared" si="50"/>
        <v>4.6854356501722988E-3</v>
      </c>
      <c r="AE106" s="14">
        <f t="shared" si="51"/>
        <v>5.6920321362701753E-3</v>
      </c>
      <c r="AF106" s="14">
        <f t="shared" si="58"/>
        <v>-3.4152192817621082E-4</v>
      </c>
      <c r="AG106" s="14">
        <f t="shared" si="59"/>
        <v>-3.4158026007132983E-4</v>
      </c>
      <c r="AH106" s="14">
        <f t="shared" si="60"/>
        <v>2.0176434533285708E-3</v>
      </c>
      <c r="AI106" s="14">
        <f t="shared" si="73"/>
        <v>-1.4587384653561131E-2</v>
      </c>
      <c r="AJ106" s="14">
        <f t="shared" si="74"/>
        <v>4.7709941698720865E-2</v>
      </c>
      <c r="AK106" s="14">
        <f t="shared" si="75"/>
        <v>-0.90000000000000036</v>
      </c>
      <c r="AL106" s="14">
        <f t="shared" si="76"/>
        <v>4.9875416140405804E-3</v>
      </c>
    </row>
    <row r="107" spans="1:38" ht="17.25" customHeight="1" x14ac:dyDescent="0.2">
      <c r="A107" s="19" t="s">
        <v>15</v>
      </c>
      <c r="B107" s="19">
        <v>2019</v>
      </c>
      <c r="C107" s="14">
        <v>1</v>
      </c>
      <c r="D107" s="14">
        <v>0</v>
      </c>
      <c r="E107" s="14">
        <v>0</v>
      </c>
      <c r="F107" s="14">
        <v>916</v>
      </c>
      <c r="G107" s="16">
        <f t="shared" si="52"/>
        <v>-1.8144711889797496</v>
      </c>
      <c r="H107" s="14">
        <f t="shared" si="45"/>
        <v>6.8200163646741299</v>
      </c>
      <c r="I107" s="17">
        <v>73584</v>
      </c>
      <c r="J107" s="15">
        <v>-75</v>
      </c>
      <c r="K107" s="14">
        <f t="shared" si="46"/>
        <v>-0.10192433137638617</v>
      </c>
      <c r="L107" s="16">
        <f t="shared" si="53"/>
        <v>-0.27183865449614381</v>
      </c>
      <c r="M107" s="14">
        <v>1.036888899675622</v>
      </c>
      <c r="N107" s="16">
        <f t="shared" si="54"/>
        <v>0.42644191258817377</v>
      </c>
      <c r="O107" s="14">
        <v>1.43</v>
      </c>
      <c r="P107" s="17">
        <v>-7.0000000000000062E-2</v>
      </c>
      <c r="Q107" s="14">
        <v>48243</v>
      </c>
      <c r="R107" s="14">
        <f>[1]Feuil1!J141/panel_choc_taux_suisse_2014_202!Q107</f>
        <v>15135.185482522505</v>
      </c>
      <c r="S107" s="14">
        <v>47.3</v>
      </c>
      <c r="T107" s="17">
        <f t="shared" si="47"/>
        <v>-0.6896772871959459</v>
      </c>
      <c r="U107" s="17">
        <f t="shared" si="48"/>
        <v>0.6644877990808441</v>
      </c>
      <c r="V107" s="14">
        <v>70041</v>
      </c>
      <c r="W107" s="16">
        <f t="shared" si="55"/>
        <v>-1.0527057921518137</v>
      </c>
      <c r="X107" s="14">
        <f t="shared" si="49"/>
        <v>11.156836063853547</v>
      </c>
      <c r="Y107" s="14">
        <v>3.4</v>
      </c>
      <c r="Z107" s="16">
        <f t="shared" si="56"/>
        <v>0.74642878235336874</v>
      </c>
      <c r="AA107" s="14">
        <f t="shared" si="57"/>
        <v>1.2237754316221157</v>
      </c>
      <c r="AB107" s="14">
        <v>15662</v>
      </c>
      <c r="AC107" s="17">
        <v>344</v>
      </c>
      <c r="AD107" s="14">
        <f t="shared" si="50"/>
        <v>4.6749293324635788E-3</v>
      </c>
      <c r="AE107" s="14">
        <f t="shared" si="51"/>
        <v>-1.25947440575509E-2</v>
      </c>
      <c r="AF107" s="14">
        <f t="shared" si="58"/>
        <v>8.8163208402856376E-4</v>
      </c>
      <c r="AG107" s="14">
        <f t="shared" si="59"/>
        <v>8.8124367473542062E-4</v>
      </c>
      <c r="AH107" s="14">
        <f t="shared" si="60"/>
        <v>1.459611069982464E-2</v>
      </c>
      <c r="AI107" s="14">
        <f t="shared" si="73"/>
        <v>7.3992090389938703E-2</v>
      </c>
      <c r="AJ107" s="14">
        <f t="shared" si="74"/>
        <v>-0.12780319107210525</v>
      </c>
      <c r="AK107" s="14">
        <f t="shared" si="75"/>
        <v>-0.39999999999999991</v>
      </c>
      <c r="AL107" s="14">
        <f t="shared" si="76"/>
        <v>8.9650785586563586E-3</v>
      </c>
    </row>
    <row r="108" spans="1:38" ht="17.25" customHeight="1" x14ac:dyDescent="0.2">
      <c r="A108" s="19" t="s">
        <v>15</v>
      </c>
      <c r="B108" s="19">
        <v>2020</v>
      </c>
      <c r="C108" s="14">
        <v>1</v>
      </c>
      <c r="D108" s="14">
        <v>0</v>
      </c>
      <c r="E108" s="14">
        <v>0</v>
      </c>
      <c r="F108" s="14">
        <v>953</v>
      </c>
      <c r="G108" s="16">
        <f t="shared" si="52"/>
        <v>-1.6269167154331481</v>
      </c>
      <c r="H108" s="14">
        <f t="shared" si="45"/>
        <v>6.8596149036542018</v>
      </c>
      <c r="I108" s="17">
        <v>73709</v>
      </c>
      <c r="J108" s="15">
        <v>34</v>
      </c>
      <c r="K108" s="14">
        <f t="shared" si="46"/>
        <v>4.6127338588232099E-2</v>
      </c>
      <c r="L108" s="16">
        <f t="shared" si="53"/>
        <v>0.18623087010377132</v>
      </c>
      <c r="M108" s="14">
        <v>1.0413346451454319</v>
      </c>
      <c r="N108" s="16">
        <f t="shared" si="54"/>
        <v>0.61203884966534006</v>
      </c>
      <c r="O108" s="14">
        <v>1.33</v>
      </c>
      <c r="P108" s="17">
        <v>-9.9999999999999867E-2</v>
      </c>
      <c r="Q108" s="14">
        <v>49471</v>
      </c>
      <c r="R108" s="14">
        <f>[1]Feuil1!J142/panel_choc_taux_suisse_2014_202!Q108</f>
        <v>15148.607613046028</v>
      </c>
      <c r="S108" s="14">
        <v>48.2</v>
      </c>
      <c r="T108" s="17">
        <f t="shared" si="47"/>
        <v>-0.68945157393737289</v>
      </c>
      <c r="U108" s="17">
        <f t="shared" si="48"/>
        <v>0.75535394271391942</v>
      </c>
      <c r="V108" s="14">
        <v>70600.951180000004</v>
      </c>
      <c r="W108" s="16">
        <f t="shared" si="55"/>
        <v>-1.0209363337512514</v>
      </c>
      <c r="X108" s="14">
        <f t="shared" si="49"/>
        <v>11.164798896195109</v>
      </c>
      <c r="Y108" s="14">
        <v>4.7</v>
      </c>
      <c r="Z108" s="16">
        <f t="shared" si="56"/>
        <v>1.8662376080765761</v>
      </c>
      <c r="AA108" s="14">
        <f t="shared" si="57"/>
        <v>1.547562508716013</v>
      </c>
      <c r="AB108" s="14">
        <v>15806</v>
      </c>
      <c r="AC108" s="17">
        <v>357</v>
      </c>
      <c r="AD108" s="14">
        <f t="shared" si="50"/>
        <v>4.8433705517643708E-3</v>
      </c>
      <c r="AE108" s="14">
        <f t="shared" si="51"/>
        <v>3.2951184388273269E-2</v>
      </c>
      <c r="AF108" s="14">
        <f t="shared" si="58"/>
        <v>-3.2951184388273227E-3</v>
      </c>
      <c r="AG108" s="14">
        <f t="shared" si="59"/>
        <v>-3.3005592970595898E-3</v>
      </c>
      <c r="AH108" s="14">
        <f t="shared" si="60"/>
        <v>-2.8356059774462768E-2</v>
      </c>
      <c r="AI108" s="14">
        <f t="shared" si="73"/>
        <v>3.9598538980071929E-2</v>
      </c>
      <c r="AJ108" s="14">
        <f t="shared" si="74"/>
        <v>0.14805166996461827</v>
      </c>
      <c r="AK108" s="14">
        <f t="shared" si="75"/>
        <v>1.3000000000000003</v>
      </c>
      <c r="AL108" s="14">
        <f t="shared" si="76"/>
        <v>7.9628323415619207E-3</v>
      </c>
    </row>
    <row r="109" spans="1:38" ht="17.25" customHeight="1" x14ac:dyDescent="0.2">
      <c r="A109" s="19" t="s">
        <v>15</v>
      </c>
      <c r="B109" s="19">
        <v>2021</v>
      </c>
      <c r="C109" s="14">
        <v>1</v>
      </c>
      <c r="D109" s="14">
        <v>0</v>
      </c>
      <c r="E109" s="14">
        <v>0</v>
      </c>
      <c r="F109" s="14">
        <v>931</v>
      </c>
      <c r="G109" s="16">
        <f t="shared" si="52"/>
        <v>-1.7384355915959921</v>
      </c>
      <c r="H109" s="14">
        <f t="shared" si="45"/>
        <v>6.8362592772770672</v>
      </c>
      <c r="I109" s="17">
        <v>73798</v>
      </c>
      <c r="J109" s="15">
        <v>0</v>
      </c>
      <c r="K109" s="14">
        <f t="shared" si="46"/>
        <v>0</v>
      </c>
      <c r="L109" s="16">
        <f t="shared" si="53"/>
        <v>4.3513614275313708E-2</v>
      </c>
      <c r="M109" s="14">
        <v>1.0457435779736526</v>
      </c>
      <c r="N109" s="16">
        <f t="shared" si="54"/>
        <v>0.79609896607405228</v>
      </c>
      <c r="O109" s="14">
        <v>1.25</v>
      </c>
      <c r="P109" s="17">
        <v>-8.0000000000000071E-2</v>
      </c>
      <c r="Q109" s="14">
        <v>49423</v>
      </c>
      <c r="R109" s="14">
        <f>[1]Feuil1!J143/panel_choc_taux_suisse_2014_202!Q109</f>
        <v>15643.521964469981</v>
      </c>
      <c r="S109" s="14">
        <v>47.3</v>
      </c>
      <c r="T109" s="17">
        <f t="shared" si="47"/>
        <v>-0.68112884672363505</v>
      </c>
      <c r="U109" s="17">
        <f t="shared" si="48"/>
        <v>0.6644877990808441</v>
      </c>
      <c r="V109" s="14">
        <v>70459.749280000004</v>
      </c>
      <c r="W109" s="16">
        <f t="shared" si="55"/>
        <v>-1.0289475819606584</v>
      </c>
      <c r="X109" s="14">
        <f t="shared" si="49"/>
        <v>11.16279689355793</v>
      </c>
      <c r="Y109" s="14">
        <v>4.9000000000000004</v>
      </c>
      <c r="Z109" s="16">
        <f t="shared" si="56"/>
        <v>2.0385158889570696</v>
      </c>
      <c r="AA109" s="14">
        <f t="shared" si="57"/>
        <v>1.589235205116581</v>
      </c>
      <c r="AB109" s="14">
        <v>16102</v>
      </c>
      <c r="AC109" s="17">
        <v>448</v>
      </c>
      <c r="AD109" s="14">
        <f t="shared" si="50"/>
        <v>6.0706252201956695E-3</v>
      </c>
      <c r="AE109" s="14">
        <f t="shared" si="51"/>
        <v>-8.3205238213954757E-3</v>
      </c>
      <c r="AF109" s="14">
        <f t="shared" si="58"/>
        <v>6.6564190571163863E-4</v>
      </c>
      <c r="AG109" s="14">
        <f t="shared" si="59"/>
        <v>6.6542046439992055E-4</v>
      </c>
      <c r="AH109" s="14">
        <f t="shared" si="60"/>
        <v>1.237494692452285E-2</v>
      </c>
      <c r="AI109" s="14">
        <f t="shared" si="73"/>
        <v>-2.335562637713462E-2</v>
      </c>
      <c r="AJ109" s="14">
        <f t="shared" si="74"/>
        <v>-4.6127338588232099E-2</v>
      </c>
      <c r="AK109" s="14">
        <f t="shared" si="75"/>
        <v>0.20000000000000018</v>
      </c>
      <c r="AL109" s="14">
        <f t="shared" si="76"/>
        <v>-2.0020026371785349E-3</v>
      </c>
    </row>
    <row r="110" spans="1:38" ht="17.25" customHeight="1" x14ac:dyDescent="0.2">
      <c r="A110" s="19" t="s">
        <v>15</v>
      </c>
      <c r="B110" s="19">
        <v>2022</v>
      </c>
      <c r="C110" s="14">
        <v>1</v>
      </c>
      <c r="D110" s="14">
        <v>0</v>
      </c>
      <c r="E110" s="14">
        <v>0</v>
      </c>
      <c r="F110" s="14">
        <v>938.83</v>
      </c>
      <c r="G110" s="16">
        <f t="shared" si="52"/>
        <v>-1.6987450097616705</v>
      </c>
      <c r="H110" s="14">
        <f t="shared" si="45"/>
        <v>6.8446344191544091</v>
      </c>
      <c r="I110" s="17">
        <v>73865</v>
      </c>
      <c r="J110" s="15">
        <v>24</v>
      </c>
      <c r="K110" s="14">
        <f t="shared" si="46"/>
        <v>3.2491707845393625E-2</v>
      </c>
      <c r="L110" s="16">
        <f t="shared" si="53"/>
        <v>0.14404244430969074</v>
      </c>
      <c r="M110" s="14">
        <v>0.98600652141555722</v>
      </c>
      <c r="N110" s="16">
        <f t="shared" si="54"/>
        <v>-1.6977493215702677</v>
      </c>
      <c r="O110" s="14">
        <v>1.21</v>
      </c>
      <c r="P110" s="17">
        <v>-4.0000000000000036E-2</v>
      </c>
      <c r="Q110" s="14">
        <v>49047</v>
      </c>
      <c r="R110" s="14">
        <f>[1]Feuil1!J144/panel_choc_taux_suisse_2014_202!Q110</f>
        <v>16232.03248856539</v>
      </c>
      <c r="S110" s="14">
        <v>46.1</v>
      </c>
      <c r="T110" s="17">
        <f t="shared" si="47"/>
        <v>-0.67123215946781478</v>
      </c>
      <c r="U110" s="17">
        <f t="shared" si="48"/>
        <v>0.54333294090341155</v>
      </c>
      <c r="V110" s="14">
        <v>71093.887019999995</v>
      </c>
      <c r="W110" s="16">
        <f t="shared" si="55"/>
        <v>-0.9929690658493856</v>
      </c>
      <c r="X110" s="14">
        <f t="shared" si="49"/>
        <v>11.171756634879889</v>
      </c>
      <c r="Y110" s="14">
        <v>3.7</v>
      </c>
      <c r="Z110" s="16">
        <f t="shared" si="56"/>
        <v>1.004846203674109</v>
      </c>
      <c r="AA110" s="14">
        <f t="shared" si="57"/>
        <v>1.3083328196501789</v>
      </c>
      <c r="AB110" s="14">
        <v>16323</v>
      </c>
      <c r="AC110" s="17">
        <v>455</v>
      </c>
      <c r="AD110" s="14">
        <f t="shared" si="50"/>
        <v>6.159886279022541E-3</v>
      </c>
      <c r="AE110" s="14">
        <f t="shared" si="51"/>
        <v>-6.3949609282201614E-2</v>
      </c>
      <c r="AF110" s="14">
        <f t="shared" si="58"/>
        <v>2.5579843712880668E-3</v>
      </c>
      <c r="AG110" s="14">
        <f t="shared" si="59"/>
        <v>2.554718297790404E-3</v>
      </c>
      <c r="AH110" s="14">
        <f t="shared" si="60"/>
        <v>3.1835102787889112E-2</v>
      </c>
      <c r="AI110" s="14">
        <f t="shared" si="73"/>
        <v>8.3751418773418962E-3</v>
      </c>
      <c r="AJ110" s="14">
        <f t="shared" si="74"/>
        <v>3.2491707845393625E-2</v>
      </c>
      <c r="AK110" s="14">
        <f t="shared" si="75"/>
        <v>-1.2000000000000002</v>
      </c>
      <c r="AL110" s="14">
        <f t="shared" si="76"/>
        <v>8.9597413219593136E-3</v>
      </c>
    </row>
    <row r="111" spans="1:38" ht="17.25" customHeight="1" x14ac:dyDescent="0.2">
      <c r="A111" s="19" t="s">
        <v>15</v>
      </c>
      <c r="B111" s="19">
        <v>2023</v>
      </c>
      <c r="C111" s="14">
        <v>1</v>
      </c>
      <c r="D111" s="14">
        <v>0</v>
      </c>
      <c r="E111" s="14">
        <v>0</v>
      </c>
      <c r="F111" s="14">
        <v>1008.57</v>
      </c>
      <c r="G111" s="16">
        <f t="shared" si="52"/>
        <v>-1.3452301723254545</v>
      </c>
      <c r="H111" s="14">
        <f t="shared" si="45"/>
        <v>6.9162887650003766</v>
      </c>
      <c r="I111" s="17">
        <v>74548</v>
      </c>
      <c r="J111" s="15">
        <v>89</v>
      </c>
      <c r="K111" s="14">
        <f t="shared" si="46"/>
        <v>0.11938616730160434</v>
      </c>
      <c r="L111" s="16">
        <f t="shared" si="53"/>
        <v>0.41289252714216013</v>
      </c>
      <c r="M111" s="14">
        <v>1.0341430614279774</v>
      </c>
      <c r="N111" s="16">
        <f t="shared" si="54"/>
        <v>0.31181115562449047</v>
      </c>
      <c r="O111" s="14">
        <v>1.48</v>
      </c>
      <c r="P111" s="17">
        <v>0.27</v>
      </c>
      <c r="Q111" s="14">
        <v>47301</v>
      </c>
      <c r="R111" s="14">
        <f>[1]Feuil1!J145/panel_choc_taux_suisse_2014_202!Q111</f>
        <v>17189.66494559664</v>
      </c>
      <c r="S111" s="14">
        <v>45.7</v>
      </c>
      <c r="T111" s="17">
        <f t="shared" si="47"/>
        <v>-0.65512813320961238</v>
      </c>
      <c r="U111" s="17">
        <f t="shared" si="48"/>
        <v>0.50294798817760078</v>
      </c>
      <c r="V111" s="14">
        <v>83179.847819999995</v>
      </c>
      <c r="W111" s="16">
        <f t="shared" si="55"/>
        <v>-0.30725852075074889</v>
      </c>
      <c r="X111" s="14">
        <f t="shared" si="49"/>
        <v>11.3287603837689</v>
      </c>
      <c r="Y111" s="14">
        <v>3.4</v>
      </c>
      <c r="Z111" s="16">
        <f t="shared" si="56"/>
        <v>0.74642878235336874</v>
      </c>
      <c r="AA111" s="14">
        <f t="shared" si="57"/>
        <v>1.2237754316221157</v>
      </c>
      <c r="AB111" s="14">
        <v>16680</v>
      </c>
      <c r="AC111" s="17">
        <v>393</v>
      </c>
      <c r="AD111" s="14">
        <f t="shared" si="50"/>
        <v>5.2717712078124163E-3</v>
      </c>
      <c r="AE111" s="14">
        <f t="shared" si="51"/>
        <v>-7.6090072516005802E-2</v>
      </c>
      <c r="AF111" s="14">
        <f t="shared" si="58"/>
        <v>-2.0544319579321568E-2</v>
      </c>
      <c r="AG111" s="14">
        <f t="shared" si="59"/>
        <v>-2.0758289767035278E-2</v>
      </c>
      <c r="AH111" s="14">
        <f t="shared" si="60"/>
        <v>-0.20574051783043296</v>
      </c>
      <c r="AI111" s="14">
        <f t="shared" si="73"/>
        <v>7.1654345845967526E-2</v>
      </c>
      <c r="AJ111" s="14">
        <f t="shared" si="74"/>
        <v>8.6894459456210715E-2</v>
      </c>
      <c r="AK111" s="14">
        <f t="shared" si="75"/>
        <v>-0.30000000000000027</v>
      </c>
      <c r="AL111" s="14">
        <f t="shared" si="76"/>
        <v>0.15700374888901081</v>
      </c>
    </row>
    <row r="112" spans="1:38" ht="17.25" customHeight="1" x14ac:dyDescent="0.2">
      <c r="A112" s="19" t="s">
        <v>14</v>
      </c>
      <c r="B112" s="19">
        <v>2014</v>
      </c>
      <c r="C112" s="14">
        <v>1</v>
      </c>
      <c r="D112" s="14">
        <v>0</v>
      </c>
      <c r="E112" s="14">
        <v>0</v>
      </c>
      <c r="F112" s="14">
        <v>1278.33</v>
      </c>
      <c r="G112" s="16">
        <f t="shared" si="52"/>
        <v>2.2194011024038281E-2</v>
      </c>
      <c r="H112" s="14">
        <f t="shared" si="45"/>
        <v>7.1533098175679175</v>
      </c>
      <c r="I112" s="17">
        <v>394604</v>
      </c>
      <c r="J112" s="15">
        <v>115</v>
      </c>
      <c r="K112" s="14">
        <f t="shared" si="46"/>
        <v>2.9143140971708344E-2</v>
      </c>
      <c r="L112" s="16">
        <f t="shared" si="53"/>
        <v>0.13368203137894427</v>
      </c>
      <c r="M112" s="14">
        <v>1.0281149308624065</v>
      </c>
      <c r="N112" s="16">
        <f t="shared" si="54"/>
        <v>6.0154245243822686E-2</v>
      </c>
      <c r="O112" s="14">
        <v>1.95</v>
      </c>
      <c r="P112" s="17">
        <v>0</v>
      </c>
      <c r="Q112" s="14">
        <v>10086</v>
      </c>
      <c r="R112" s="14">
        <f>[1]Feuil1!J146/panel_choc_taux_suisse_2014_202!Q112</f>
        <v>62939.949765351317</v>
      </c>
      <c r="S112" s="14">
        <v>16</v>
      </c>
      <c r="T112" s="17">
        <f t="shared" si="47"/>
        <v>0.11423153358949396</v>
      </c>
      <c r="U112" s="17">
        <f t="shared" si="48"/>
        <v>-2.4956347517138653</v>
      </c>
      <c r="V112" s="14">
        <v>80969.132769999997</v>
      </c>
      <c r="W112" s="16">
        <f t="shared" si="55"/>
        <v>-0.4326859192901566</v>
      </c>
      <c r="X112" s="14">
        <f t="shared" si="49"/>
        <v>11.301823284112736</v>
      </c>
      <c r="Y112" s="14">
        <v>1.9</v>
      </c>
      <c r="Z112" s="16">
        <f t="shared" si="56"/>
        <v>-0.54565832425033156</v>
      </c>
      <c r="AA112" s="14">
        <f t="shared" si="57"/>
        <v>0.64185388617239469</v>
      </c>
      <c r="AB112" s="14">
        <v>64757</v>
      </c>
      <c r="AC112" s="17">
        <v>2786</v>
      </c>
      <c r="AD112" s="14">
        <f t="shared" si="50"/>
        <v>7.0602426736677782E-3</v>
      </c>
      <c r="AE112" s="14">
        <f t="shared" si="51"/>
        <v>-1.1907016090621856</v>
      </c>
      <c r="AF112" s="14">
        <f t="shared" si="58"/>
        <v>0</v>
      </c>
      <c r="AG112" s="14">
        <f t="shared" si="59"/>
        <v>0</v>
      </c>
      <c r="AH112" s="14">
        <f t="shared" si="60"/>
        <v>5.5297297030243815E-3</v>
      </c>
      <c r="AI112" s="14">
        <v>0</v>
      </c>
      <c r="AJ112" s="14">
        <v>0</v>
      </c>
      <c r="AK112" s="14">
        <v>0</v>
      </c>
      <c r="AL112" s="14">
        <v>0</v>
      </c>
    </row>
    <row r="113" spans="1:38" ht="17.25" customHeight="1" x14ac:dyDescent="0.2">
      <c r="A113" s="19" t="s">
        <v>14</v>
      </c>
      <c r="B113" s="19">
        <v>2015</v>
      </c>
      <c r="C113" s="14">
        <v>1</v>
      </c>
      <c r="D113" s="14">
        <v>0</v>
      </c>
      <c r="E113" s="14">
        <v>0</v>
      </c>
      <c r="F113" s="14">
        <v>1238.67</v>
      </c>
      <c r="G113" s="16">
        <f t="shared" si="52"/>
        <v>-0.17884410845861559</v>
      </c>
      <c r="H113" s="14">
        <f t="shared" si="45"/>
        <v>7.1217935023276606</v>
      </c>
      <c r="I113" s="17">
        <v>398762</v>
      </c>
      <c r="J113" s="15">
        <v>174</v>
      </c>
      <c r="K113" s="14">
        <f t="shared" si="46"/>
        <v>4.3635050481239439E-2</v>
      </c>
      <c r="L113" s="16">
        <f t="shared" si="53"/>
        <v>0.17851977013030274</v>
      </c>
      <c r="M113" s="14">
        <v>1.0174024043472965</v>
      </c>
      <c r="N113" s="16">
        <f t="shared" si="54"/>
        <v>-0.38706256531446542</v>
      </c>
      <c r="O113" s="14">
        <v>1.84</v>
      </c>
      <c r="P113" s="17">
        <v>-0.10999999999999988</v>
      </c>
      <c r="Q113" s="14">
        <v>9365</v>
      </c>
      <c r="R113" s="14">
        <f>[1]Feuil1!J147/panel_choc_taux_suisse_2014_202!Q113</f>
        <v>70056.827272646377</v>
      </c>
      <c r="S113" s="14">
        <v>15.5</v>
      </c>
      <c r="T113" s="17">
        <f t="shared" si="47"/>
        <v>0.2339125045219049</v>
      </c>
      <c r="U113" s="17">
        <f t="shared" si="48"/>
        <v>-2.5461159426211286</v>
      </c>
      <c r="V113" s="14">
        <v>81293.009300000005</v>
      </c>
      <c r="W113" s="16">
        <f t="shared" si="55"/>
        <v>-0.41431042100697824</v>
      </c>
      <c r="X113" s="14">
        <f t="shared" si="49"/>
        <v>11.30581530536899</v>
      </c>
      <c r="Y113" s="14">
        <v>2</v>
      </c>
      <c r="Z113" s="16">
        <f t="shared" si="56"/>
        <v>-0.45951918381008483</v>
      </c>
      <c r="AA113" s="14">
        <f t="shared" si="57"/>
        <v>0.69314718055994529</v>
      </c>
      <c r="AB113" s="14">
        <v>66306</v>
      </c>
      <c r="AC113" s="17">
        <v>3391</v>
      </c>
      <c r="AD113" s="14">
        <f t="shared" si="50"/>
        <v>8.5038193207978702E-3</v>
      </c>
      <c r="AE113" s="14">
        <f t="shared" si="51"/>
        <v>-1.1561017190496119</v>
      </c>
      <c r="AF113" s="14">
        <f t="shared" si="58"/>
        <v>0.12717118909545716</v>
      </c>
      <c r="AG113" s="14">
        <f t="shared" si="59"/>
        <v>0.11971112156618345</v>
      </c>
      <c r="AH113" s="14">
        <f t="shared" si="60"/>
        <v>1.3133115959062849</v>
      </c>
      <c r="AI113" s="14">
        <f t="shared" ref="AI113:AI121" si="77">LN(F113)-LN(F112)</f>
        <v>-3.1516315240256887E-2</v>
      </c>
      <c r="AJ113" s="14">
        <f t="shared" ref="AJ113:AJ121" si="78">K113-K112</f>
        <v>1.4491909509531095E-2</v>
      </c>
      <c r="AK113" s="14">
        <f t="shared" ref="AK113:AK121" si="79">Y113-Y112</f>
        <v>0.10000000000000009</v>
      </c>
      <c r="AL113" s="14">
        <f t="shared" ref="AL113:AL121" si="80">LN(V113)-LN(V112)</f>
        <v>3.9920212562538637E-3</v>
      </c>
    </row>
    <row r="114" spans="1:38" ht="17.25" customHeight="1" x14ac:dyDescent="0.2">
      <c r="A114" s="19" t="s">
        <v>14</v>
      </c>
      <c r="B114" s="19">
        <v>2016</v>
      </c>
      <c r="C114" s="14">
        <v>1</v>
      </c>
      <c r="D114" s="14">
        <v>0</v>
      </c>
      <c r="E114" s="14">
        <v>0</v>
      </c>
      <c r="F114" s="14">
        <v>1258.17</v>
      </c>
      <c r="G114" s="16">
        <f t="shared" si="52"/>
        <v>-7.9997831859730945E-2</v>
      </c>
      <c r="H114" s="14">
        <f t="shared" si="45"/>
        <v>7.1374135632655911</v>
      </c>
      <c r="I114" s="17">
        <v>403397</v>
      </c>
      <c r="J114" s="15">
        <v>-270</v>
      </c>
      <c r="K114" s="14">
        <f t="shared" si="46"/>
        <v>-6.693158352689782E-2</v>
      </c>
      <c r="L114" s="16">
        <f t="shared" si="53"/>
        <v>-0.16357164625712495</v>
      </c>
      <c r="M114" s="14">
        <v>0.98347652295718835</v>
      </c>
      <c r="N114" s="16">
        <f t="shared" si="54"/>
        <v>-1.8033693953850858</v>
      </c>
      <c r="O114" s="14">
        <v>1.71</v>
      </c>
      <c r="P114" s="17">
        <v>-0.13000000000000012</v>
      </c>
      <c r="Q114" s="14">
        <v>9971</v>
      </c>
      <c r="R114" s="14">
        <f>[1]Feuil1!J148/panel_choc_taux_suisse_2014_202!Q114</f>
        <v>67754.798005883727</v>
      </c>
      <c r="S114" s="14">
        <v>16.5</v>
      </c>
      <c r="T114" s="17">
        <f t="shared" si="47"/>
        <v>0.19520042925033068</v>
      </c>
      <c r="U114" s="17">
        <f t="shared" si="48"/>
        <v>-2.4451535608066015</v>
      </c>
      <c r="V114" s="14">
        <v>81862.060370000007</v>
      </c>
      <c r="W114" s="16">
        <f t="shared" si="55"/>
        <v>-0.38202467013819641</v>
      </c>
      <c r="X114" s="14">
        <f t="shared" si="49"/>
        <v>11.312790919165272</v>
      </c>
      <c r="Y114" s="14">
        <v>2.1</v>
      </c>
      <c r="Z114" s="16">
        <f t="shared" si="56"/>
        <v>-0.37338004336983804</v>
      </c>
      <c r="AA114" s="14">
        <f t="shared" si="57"/>
        <v>0.74193734472937733</v>
      </c>
      <c r="AB114" s="14">
        <v>67670</v>
      </c>
      <c r="AC114" s="17">
        <v>2812</v>
      </c>
      <c r="AD114" s="14">
        <f t="shared" si="50"/>
        <v>6.970800476949506E-3</v>
      </c>
      <c r="AE114" s="14">
        <f t="shared" si="51"/>
        <v>-1.1249765657781354</v>
      </c>
      <c r="AF114" s="14">
        <f t="shared" si="58"/>
        <v>0.14624695355115774</v>
      </c>
      <c r="AG114" s="14">
        <f t="shared" si="59"/>
        <v>0.13649308683247152</v>
      </c>
      <c r="AH114" s="14">
        <f t="shared" si="60"/>
        <v>1.5094797611689708</v>
      </c>
      <c r="AI114" s="14">
        <f t="shared" si="77"/>
        <v>1.5620060937930447E-2</v>
      </c>
      <c r="AJ114" s="14">
        <f t="shared" si="78"/>
        <v>-0.11056663400813727</v>
      </c>
      <c r="AK114" s="14">
        <f t="shared" si="79"/>
        <v>0.10000000000000009</v>
      </c>
      <c r="AL114" s="14">
        <f t="shared" si="80"/>
        <v>6.9756137962819764E-3</v>
      </c>
    </row>
    <row r="115" spans="1:38" ht="17.25" customHeight="1" x14ac:dyDescent="0.2">
      <c r="A115" s="19" t="s">
        <v>14</v>
      </c>
      <c r="B115" s="19">
        <v>2017</v>
      </c>
      <c r="C115" s="14">
        <v>1</v>
      </c>
      <c r="D115" s="14">
        <v>0</v>
      </c>
      <c r="E115" s="14">
        <v>0</v>
      </c>
      <c r="F115" s="14">
        <v>1261.83</v>
      </c>
      <c r="G115" s="16">
        <f t="shared" si="52"/>
        <v>-6.1445146098094872E-2</v>
      </c>
      <c r="H115" s="14">
        <f t="shared" si="45"/>
        <v>7.1403183272128006</v>
      </c>
      <c r="I115" s="17">
        <v>406506</v>
      </c>
      <c r="J115" s="15">
        <v>-169</v>
      </c>
      <c r="K115" s="14">
        <f t="shared" si="46"/>
        <v>-4.1573802108701964E-2</v>
      </c>
      <c r="L115" s="16">
        <f t="shared" si="53"/>
        <v>-8.5115071725291119E-2</v>
      </c>
      <c r="M115" s="14">
        <v>1.0635156673797794</v>
      </c>
      <c r="N115" s="16">
        <f t="shared" si="54"/>
        <v>1.5380319853253162</v>
      </c>
      <c r="O115" s="14">
        <v>1.56</v>
      </c>
      <c r="P115" s="17">
        <v>-0.14999999999999991</v>
      </c>
      <c r="Q115" s="14">
        <v>8856</v>
      </c>
      <c r="R115" s="14">
        <f>[1]Feuil1!J149/panel_choc_taux_suisse_2014_202!Q115</f>
        <v>78181.17764980426</v>
      </c>
      <c r="S115" s="14">
        <v>14.9</v>
      </c>
      <c r="T115" s="17">
        <f t="shared" si="47"/>
        <v>0.37053564301721842</v>
      </c>
      <c r="U115" s="17">
        <f t="shared" si="48"/>
        <v>-2.6066933717098455</v>
      </c>
      <c r="V115" s="14">
        <v>82189.508610000004</v>
      </c>
      <c r="W115" s="16">
        <f t="shared" si="55"/>
        <v>-0.36344652688110529</v>
      </c>
      <c r="X115" s="14">
        <f t="shared" si="49"/>
        <v>11.3167829404168</v>
      </c>
      <c r="Y115" s="14">
        <v>1.8</v>
      </c>
      <c r="Z115" s="16">
        <f t="shared" si="56"/>
        <v>-0.63179746469057818</v>
      </c>
      <c r="AA115" s="14">
        <f t="shared" si="57"/>
        <v>0.58778666490211906</v>
      </c>
      <c r="AB115" s="14">
        <v>70742</v>
      </c>
      <c r="AC115" s="17">
        <v>2734</v>
      </c>
      <c r="AD115" s="14">
        <f t="shared" si="50"/>
        <v>6.7256079861059866E-3</v>
      </c>
      <c r="AE115" s="14">
        <f t="shared" si="51"/>
        <v>-1.1180788643463135</v>
      </c>
      <c r="AF115" s="14">
        <f t="shared" si="58"/>
        <v>0.16771182965194692</v>
      </c>
      <c r="AG115" s="14">
        <f t="shared" si="59"/>
        <v>0.15504613277695425</v>
      </c>
      <c r="AH115" s="14">
        <f t="shared" si="60"/>
        <v>1.7302166743375731</v>
      </c>
      <c r="AI115" s="14">
        <f t="shared" si="77"/>
        <v>2.9047639472095099E-3</v>
      </c>
      <c r="AJ115" s="14">
        <f t="shared" si="78"/>
        <v>2.5357781418195856E-2</v>
      </c>
      <c r="AK115" s="14">
        <f t="shared" si="79"/>
        <v>-0.30000000000000004</v>
      </c>
      <c r="AL115" s="14">
        <f t="shared" si="80"/>
        <v>3.9920212515287545E-3</v>
      </c>
    </row>
    <row r="116" spans="1:38" ht="17.25" customHeight="1" x14ac:dyDescent="0.2">
      <c r="A116" s="19" t="s">
        <v>14</v>
      </c>
      <c r="B116" s="19">
        <v>2018</v>
      </c>
      <c r="C116" s="14">
        <v>1</v>
      </c>
      <c r="D116" s="14">
        <v>0</v>
      </c>
      <c r="E116" s="14">
        <v>0</v>
      </c>
      <c r="F116" s="14">
        <v>1289.5</v>
      </c>
      <c r="G116" s="16">
        <f t="shared" si="52"/>
        <v>7.8815185875810004E-2</v>
      </c>
      <c r="H116" s="14">
        <f t="shared" si="45"/>
        <v>7.1620098253213991</v>
      </c>
      <c r="I116" s="17">
        <v>409557</v>
      </c>
      <c r="J116" s="15">
        <v>-190</v>
      </c>
      <c r="K116" s="14">
        <f t="shared" si="46"/>
        <v>-4.639158896075516E-2</v>
      </c>
      <c r="L116" s="16">
        <f t="shared" si="53"/>
        <v>-0.10002122802512303</v>
      </c>
      <c r="M116" s="14">
        <v>1.0301138707197743</v>
      </c>
      <c r="N116" s="16">
        <f t="shared" si="54"/>
        <v>0.14360416774800241</v>
      </c>
      <c r="O116" s="14">
        <v>1.5</v>
      </c>
      <c r="P116" s="17">
        <v>-6.0000000000000053E-2</v>
      </c>
      <c r="Q116" s="14">
        <v>8480</v>
      </c>
      <c r="R116" s="14">
        <f>[1]Feuil1!J150/panel_choc_taux_suisse_2014_202!Q116</f>
        <v>83825.370308569181</v>
      </c>
      <c r="S116" s="14">
        <v>14.3</v>
      </c>
      <c r="T116" s="17">
        <f t="shared" si="47"/>
        <v>0.46545120912583232</v>
      </c>
      <c r="U116" s="17">
        <f t="shared" si="48"/>
        <v>-2.6672708007985615</v>
      </c>
      <c r="V116" s="14">
        <v>82600.456149999998</v>
      </c>
      <c r="W116" s="16">
        <f t="shared" si="55"/>
        <v>-0.34013095716153946</v>
      </c>
      <c r="X116" s="14">
        <f t="shared" si="49"/>
        <v>11.321770481890916</v>
      </c>
      <c r="Y116" s="14">
        <v>1.7</v>
      </c>
      <c r="Z116" s="16">
        <f t="shared" si="56"/>
        <v>-0.71793660513082491</v>
      </c>
      <c r="AA116" s="14">
        <f t="shared" si="57"/>
        <v>0.53062825106217038</v>
      </c>
      <c r="AB116" s="14">
        <v>72068</v>
      </c>
      <c r="AC116" s="17">
        <v>3151</v>
      </c>
      <c r="AD116" s="14">
        <f t="shared" si="50"/>
        <v>7.6936787797547103E-3</v>
      </c>
      <c r="AE116" s="14">
        <f t="shared" si="51"/>
        <v>-1.1009097958363645</v>
      </c>
      <c r="AF116" s="14">
        <f t="shared" si="58"/>
        <v>6.6054587750181928E-2</v>
      </c>
      <c r="AG116" s="14">
        <f t="shared" si="59"/>
        <v>6.3964532453375411E-2</v>
      </c>
      <c r="AH116" s="14">
        <f t="shared" si="60"/>
        <v>0.68481088334842832</v>
      </c>
      <c r="AI116" s="14">
        <f t="shared" si="77"/>
        <v>2.1691498108598495E-2</v>
      </c>
      <c r="AJ116" s="14">
        <f t="shared" si="78"/>
        <v>-4.8177868520531963E-3</v>
      </c>
      <c r="AK116" s="14">
        <f t="shared" si="79"/>
        <v>-0.10000000000000009</v>
      </c>
      <c r="AL116" s="14">
        <f t="shared" si="80"/>
        <v>4.9875414741151758E-3</v>
      </c>
    </row>
    <row r="117" spans="1:38" ht="17.25" customHeight="1" x14ac:dyDescent="0.2">
      <c r="A117" s="19" t="s">
        <v>14</v>
      </c>
      <c r="B117" s="19">
        <v>2019</v>
      </c>
      <c r="C117" s="14">
        <v>1</v>
      </c>
      <c r="D117" s="14">
        <v>0</v>
      </c>
      <c r="E117" s="14">
        <v>0</v>
      </c>
      <c r="F117" s="14">
        <v>1311.83</v>
      </c>
      <c r="G117" s="16">
        <f t="shared" si="52"/>
        <v>0.19200684518109651</v>
      </c>
      <c r="H117" s="14">
        <f t="shared" si="45"/>
        <v>7.1791783879379745</v>
      </c>
      <c r="I117" s="17">
        <v>413120</v>
      </c>
      <c r="J117" s="15">
        <v>319</v>
      </c>
      <c r="K117" s="14">
        <f t="shared" si="46"/>
        <v>7.7217273431448491E-2</v>
      </c>
      <c r="L117" s="16">
        <f t="shared" si="53"/>
        <v>0.28242263664634326</v>
      </c>
      <c r="M117" s="14">
        <v>1.036888899675622</v>
      </c>
      <c r="N117" s="16">
        <f t="shared" si="54"/>
        <v>0.42644191258817377</v>
      </c>
      <c r="O117" s="14">
        <v>1.43</v>
      </c>
      <c r="P117" s="17">
        <v>-7.0000000000000062E-2</v>
      </c>
      <c r="Q117" s="14">
        <v>9389</v>
      </c>
      <c r="R117" s="14">
        <f>[1]Feuil1!J151/panel_choc_taux_suisse_2014_202!Q117</f>
        <v>77768.319654205261</v>
      </c>
      <c r="S117" s="14">
        <v>15.8</v>
      </c>
      <c r="T117" s="17">
        <f t="shared" si="47"/>
        <v>0.36359281651502712</v>
      </c>
      <c r="U117" s="17">
        <f t="shared" si="48"/>
        <v>-2.5158272280767706</v>
      </c>
      <c r="V117" s="14">
        <v>83344</v>
      </c>
      <c r="W117" s="16">
        <f t="shared" si="55"/>
        <v>-0.29794516265786702</v>
      </c>
      <c r="X117" s="14">
        <f t="shared" si="49"/>
        <v>11.330731899984972</v>
      </c>
      <c r="Y117" s="14">
        <v>1.6</v>
      </c>
      <c r="Z117" s="16">
        <f t="shared" si="56"/>
        <v>-0.80407574557107153</v>
      </c>
      <c r="AA117" s="14">
        <f t="shared" si="57"/>
        <v>0.47000362924573563</v>
      </c>
      <c r="AB117" s="14">
        <v>73735</v>
      </c>
      <c r="AC117" s="17">
        <v>3020</v>
      </c>
      <c r="AD117" s="14">
        <f t="shared" si="50"/>
        <v>7.310224632068164E-3</v>
      </c>
      <c r="AE117" s="14">
        <f t="shared" si="51"/>
        <v>-1.0761172057808717</v>
      </c>
      <c r="AF117" s="14">
        <f t="shared" si="58"/>
        <v>7.5328204404661078E-2</v>
      </c>
      <c r="AG117" s="14">
        <f t="shared" si="59"/>
        <v>7.2625921406044583E-2</v>
      </c>
      <c r="AH117" s="14">
        <f t="shared" si="60"/>
        <v>0.78017735574765212</v>
      </c>
      <c r="AI117" s="14">
        <f t="shared" si="77"/>
        <v>1.71685626165754E-2</v>
      </c>
      <c r="AJ117" s="14">
        <f t="shared" si="78"/>
        <v>0.12360886239220364</v>
      </c>
      <c r="AK117" s="14">
        <f t="shared" si="79"/>
        <v>-9.9999999999999867E-2</v>
      </c>
      <c r="AL117" s="14">
        <f t="shared" si="80"/>
        <v>8.9614180940564836E-3</v>
      </c>
    </row>
    <row r="118" spans="1:38" ht="17.25" customHeight="1" x14ac:dyDescent="0.2">
      <c r="A118" s="19" t="s">
        <v>14</v>
      </c>
      <c r="B118" s="19">
        <v>2020</v>
      </c>
      <c r="C118" s="14">
        <v>1</v>
      </c>
      <c r="D118" s="14">
        <v>0</v>
      </c>
      <c r="E118" s="14">
        <v>0</v>
      </c>
      <c r="F118" s="14">
        <v>1304.67</v>
      </c>
      <c r="G118" s="16">
        <f t="shared" si="52"/>
        <v>0.15571252002991703</v>
      </c>
      <c r="H118" s="14">
        <f t="shared" si="45"/>
        <v>7.1737054142156653</v>
      </c>
      <c r="I118" s="17">
        <v>416347</v>
      </c>
      <c r="J118" s="15">
        <v>159</v>
      </c>
      <c r="K118" s="14">
        <f t="shared" si="46"/>
        <v>3.8189298830062425E-2</v>
      </c>
      <c r="L118" s="16">
        <f t="shared" si="53"/>
        <v>0.16167070067678013</v>
      </c>
      <c r="M118" s="14">
        <v>1.0413346451454319</v>
      </c>
      <c r="N118" s="16">
        <f t="shared" si="54"/>
        <v>0.61203884966534006</v>
      </c>
      <c r="O118" s="14">
        <v>1.33</v>
      </c>
      <c r="P118" s="17">
        <v>-9.9999999999999867E-2</v>
      </c>
      <c r="Q118" s="14">
        <v>9184</v>
      </c>
      <c r="R118" s="14">
        <f>[1]Feuil1!J152/panel_choc_taux_suisse_2014_202!Q118</f>
        <v>81600.257755335362</v>
      </c>
      <c r="S118" s="14">
        <v>15.4</v>
      </c>
      <c r="T118" s="17">
        <f t="shared" si="47"/>
        <v>0.42803260377089286</v>
      </c>
      <c r="U118" s="17">
        <f t="shared" si="48"/>
        <v>-2.5562121808025817</v>
      </c>
      <c r="V118" s="14">
        <v>84010.611139999994</v>
      </c>
      <c r="W118" s="16">
        <f t="shared" si="55"/>
        <v>-0.26012423176603267</v>
      </c>
      <c r="X118" s="14">
        <f t="shared" si="49"/>
        <v>11.338698392942598</v>
      </c>
      <c r="Y118" s="14">
        <v>2.2999999999999998</v>
      </c>
      <c r="Z118" s="16">
        <f t="shared" si="56"/>
        <v>-0.20110176248934492</v>
      </c>
      <c r="AA118" s="14">
        <f t="shared" si="57"/>
        <v>0.83290912293510388</v>
      </c>
      <c r="AB118" s="14">
        <v>75290</v>
      </c>
      <c r="AC118" s="17">
        <v>2437</v>
      </c>
      <c r="AD118" s="14">
        <f t="shared" si="50"/>
        <v>5.8532906445825233E-3</v>
      </c>
      <c r="AE118" s="14">
        <f t="shared" si="51"/>
        <v>-1.0640897885158445</v>
      </c>
      <c r="AF118" s="14">
        <f t="shared" si="58"/>
        <v>0.1064089788515843</v>
      </c>
      <c r="AG118" s="14">
        <f t="shared" si="59"/>
        <v>0.1011196167111004</v>
      </c>
      <c r="AH118" s="14">
        <f t="shared" si="60"/>
        <v>1.0998006406941312</v>
      </c>
      <c r="AI118" s="14">
        <f t="shared" si="77"/>
        <v>-5.472973722309149E-3</v>
      </c>
      <c r="AJ118" s="14">
        <f t="shared" si="78"/>
        <v>-3.9027974601386066E-2</v>
      </c>
      <c r="AK118" s="14">
        <f t="shared" si="79"/>
        <v>0.69999999999999973</v>
      </c>
      <c r="AL118" s="14">
        <f t="shared" si="80"/>
        <v>7.9664929576264143E-3</v>
      </c>
    </row>
    <row r="119" spans="1:38" ht="17.25" customHeight="1" x14ac:dyDescent="0.2">
      <c r="A119" s="19" t="s">
        <v>14</v>
      </c>
      <c r="B119" s="19">
        <v>2021</v>
      </c>
      <c r="C119" s="14">
        <v>1</v>
      </c>
      <c r="D119" s="14">
        <v>0</v>
      </c>
      <c r="E119" s="14">
        <v>0</v>
      </c>
      <c r="F119" s="14">
        <v>1337.83</v>
      </c>
      <c r="G119" s="16">
        <f t="shared" si="52"/>
        <v>0.32380188064627602</v>
      </c>
      <c r="H119" s="14">
        <f t="shared" si="45"/>
        <v>7.1988041773095368</v>
      </c>
      <c r="I119" s="17">
        <v>420326</v>
      </c>
      <c r="J119" s="15">
        <v>753</v>
      </c>
      <c r="K119" s="14">
        <f t="shared" si="46"/>
        <v>0.17914666235255491</v>
      </c>
      <c r="L119" s="16">
        <f t="shared" si="53"/>
        <v>0.59779055338115172</v>
      </c>
      <c r="M119" s="14">
        <v>1.0457435779736526</v>
      </c>
      <c r="N119" s="16">
        <f t="shared" si="54"/>
        <v>0.79609896607405228</v>
      </c>
      <c r="O119" s="14">
        <v>1.25</v>
      </c>
      <c r="P119" s="17">
        <v>-8.0000000000000071E-2</v>
      </c>
      <c r="Q119" s="14">
        <v>8722</v>
      </c>
      <c r="R119" s="14">
        <f>[1]Feuil1!J153/panel_choc_taux_suisse_2014_202!Q119</f>
        <v>88643.635181151098</v>
      </c>
      <c r="S119" s="14">
        <v>16</v>
      </c>
      <c r="T119" s="17">
        <f t="shared" si="47"/>
        <v>0.54647756057968844</v>
      </c>
      <c r="U119" s="17">
        <f t="shared" si="48"/>
        <v>-2.4956347517138653</v>
      </c>
      <c r="V119" s="14">
        <v>83842.589919999999</v>
      </c>
      <c r="W119" s="16">
        <f t="shared" si="55"/>
        <v>-0.26965710418394873</v>
      </c>
      <c r="X119" s="14">
        <f t="shared" si="49"/>
        <v>11.336696390299119</v>
      </c>
      <c r="Y119" s="14">
        <v>2.1</v>
      </c>
      <c r="Z119" s="16">
        <f t="shared" si="56"/>
        <v>-0.37338004336983804</v>
      </c>
      <c r="AA119" s="14">
        <f t="shared" si="57"/>
        <v>0.74193734472937733</v>
      </c>
      <c r="AB119" s="14">
        <v>77022</v>
      </c>
      <c r="AC119" s="17">
        <v>2326</v>
      </c>
      <c r="AD119" s="14">
        <f t="shared" si="50"/>
        <v>5.5337999552728121E-3</v>
      </c>
      <c r="AE119" s="14">
        <f t="shared" si="51"/>
        <v>-0.97457859556708848</v>
      </c>
      <c r="AF119" s="14">
        <f t="shared" si="58"/>
        <v>7.7966287645367144E-2</v>
      </c>
      <c r="AG119" s="14">
        <f t="shared" si="59"/>
        <v>7.507619894154742E-2</v>
      </c>
      <c r="AH119" s="14">
        <f t="shared" si="60"/>
        <v>0.80730643622782639</v>
      </c>
      <c r="AI119" s="14">
        <f t="shared" si="77"/>
        <v>2.509876309387149E-2</v>
      </c>
      <c r="AJ119" s="14">
        <f t="shared" si="78"/>
        <v>0.1409573635224925</v>
      </c>
      <c r="AK119" s="14">
        <f t="shared" si="79"/>
        <v>-0.19999999999999973</v>
      </c>
      <c r="AL119" s="14">
        <f t="shared" si="80"/>
        <v>-2.0020026434792726E-3</v>
      </c>
    </row>
    <row r="120" spans="1:38" ht="17.25" customHeight="1" x14ac:dyDescent="0.2">
      <c r="A120" s="19" t="s">
        <v>14</v>
      </c>
      <c r="B120" s="19">
        <v>2022</v>
      </c>
      <c r="C120" s="14">
        <v>1</v>
      </c>
      <c r="D120" s="14">
        <v>0</v>
      </c>
      <c r="E120" s="14">
        <v>0</v>
      </c>
      <c r="F120" s="14">
        <v>1356.17</v>
      </c>
      <c r="G120" s="16">
        <f t="shared" si="52"/>
        <v>0.41676807104748415</v>
      </c>
      <c r="H120" s="14">
        <f t="shared" si="45"/>
        <v>7.2124198293739017</v>
      </c>
      <c r="I120" s="17">
        <v>424851</v>
      </c>
      <c r="J120" s="15">
        <v>895</v>
      </c>
      <c r="K120" s="14">
        <f t="shared" si="46"/>
        <v>0.21066209094482538</v>
      </c>
      <c r="L120" s="16">
        <f t="shared" si="53"/>
        <v>0.69529879085171808</v>
      </c>
      <c r="M120" s="14">
        <v>0.98600652141555722</v>
      </c>
      <c r="N120" s="16">
        <f t="shared" si="54"/>
        <v>-1.6977493215702677</v>
      </c>
      <c r="O120" s="14">
        <v>1.21</v>
      </c>
      <c r="P120" s="17">
        <v>-4.0000000000000036E-2</v>
      </c>
      <c r="Q120" s="14">
        <v>8892</v>
      </c>
      <c r="R120" s="14">
        <f>[1]Feuil1!J154/panel_choc_taux_suisse_2014_202!Q120</f>
        <v>89533.569215774478</v>
      </c>
      <c r="S120" s="14">
        <v>15.5</v>
      </c>
      <c r="T120" s="17">
        <f t="shared" si="47"/>
        <v>0.56144313631432063</v>
      </c>
      <c r="U120" s="17">
        <f t="shared" si="48"/>
        <v>-2.5461159426211286</v>
      </c>
      <c r="V120" s="14">
        <v>84597.173219999997</v>
      </c>
      <c r="W120" s="16">
        <f t="shared" si="55"/>
        <v>-0.2268449740994852</v>
      </c>
      <c r="X120" s="14">
        <f t="shared" si="49"/>
        <v>11.345656131560895</v>
      </c>
      <c r="Y120" s="14">
        <v>1.3</v>
      </c>
      <c r="Z120" s="16">
        <f t="shared" si="56"/>
        <v>-1.0624931668918116</v>
      </c>
      <c r="AA120" s="14">
        <f t="shared" si="57"/>
        <v>0.26236426446749106</v>
      </c>
      <c r="AB120" s="14">
        <v>78757</v>
      </c>
      <c r="AC120" s="17">
        <v>2125</v>
      </c>
      <c r="AD120" s="14">
        <f t="shared" si="50"/>
        <v>5.0017535559525577E-3</v>
      </c>
      <c r="AE120" s="14">
        <f t="shared" si="51"/>
        <v>-0.99233640315340399</v>
      </c>
      <c r="AF120" s="14">
        <f t="shared" si="58"/>
        <v>3.9693456126136194E-2</v>
      </c>
      <c r="AG120" s="14">
        <f t="shared" si="59"/>
        <v>3.8925915979995139E-2</v>
      </c>
      <c r="AH120" s="14">
        <f t="shared" si="60"/>
        <v>0.41372267417357345</v>
      </c>
      <c r="AI120" s="14">
        <f t="shared" si="77"/>
        <v>1.361565206436488E-2</v>
      </c>
      <c r="AJ120" s="14">
        <f t="shared" si="78"/>
        <v>3.1515428592270467E-2</v>
      </c>
      <c r="AK120" s="14">
        <f t="shared" si="79"/>
        <v>-0.8</v>
      </c>
      <c r="AL120" s="14">
        <f t="shared" si="80"/>
        <v>8.9597412617763439E-3</v>
      </c>
    </row>
    <row r="121" spans="1:38" ht="17.25" customHeight="1" x14ac:dyDescent="0.2">
      <c r="A121" s="19" t="s">
        <v>14</v>
      </c>
      <c r="B121" s="19">
        <v>2023</v>
      </c>
      <c r="C121" s="14">
        <v>1</v>
      </c>
      <c r="D121" s="14">
        <v>0</v>
      </c>
      <c r="E121" s="14">
        <v>0</v>
      </c>
      <c r="F121" s="14">
        <v>1539.43</v>
      </c>
      <c r="G121" s="16">
        <f t="shared" si="52"/>
        <v>1.3457203094839765</v>
      </c>
      <c r="H121" s="14">
        <f t="shared" si="45"/>
        <v>7.3391674970225775</v>
      </c>
      <c r="I121" s="17">
        <v>432744</v>
      </c>
      <c r="J121" s="15">
        <v>762</v>
      </c>
      <c r="K121" s="14">
        <f t="shared" si="46"/>
        <v>0.17608563030336644</v>
      </c>
      <c r="L121" s="16">
        <f t="shared" si="53"/>
        <v>0.58831976864841651</v>
      </c>
      <c r="M121" s="14">
        <v>1.0341430614279774</v>
      </c>
      <c r="N121" s="16">
        <f t="shared" si="54"/>
        <v>0.31181115562449047</v>
      </c>
      <c r="O121" s="14">
        <v>1.48</v>
      </c>
      <c r="P121" s="17">
        <v>0.27</v>
      </c>
      <c r="Q121" s="14">
        <v>8752</v>
      </c>
      <c r="R121" s="14">
        <f>[1]Feuil1!J155/panel_choc_taux_suisse_2014_202!Q121</f>
        <v>92903.146891186785</v>
      </c>
      <c r="S121" s="14">
        <v>15.9</v>
      </c>
      <c r="T121" s="17">
        <f t="shared" si="47"/>
        <v>0.61810763944960012</v>
      </c>
      <c r="U121" s="17">
        <f t="shared" si="48"/>
        <v>-2.505730989895318</v>
      </c>
      <c r="V121" s="14">
        <v>98978.692670000004</v>
      </c>
      <c r="W121" s="16">
        <f t="shared" si="55"/>
        <v>0.58910666636969045</v>
      </c>
      <c r="X121" s="14">
        <f t="shared" si="49"/>
        <v>11.502659880396827</v>
      </c>
      <c r="Y121" s="14">
        <v>1.2</v>
      </c>
      <c r="Z121" s="16">
        <f t="shared" si="56"/>
        <v>-1.1486323073320583</v>
      </c>
      <c r="AA121" s="14">
        <f t="shared" si="57"/>
        <v>0.18232155679395459</v>
      </c>
      <c r="AB121" s="14">
        <v>80901</v>
      </c>
      <c r="AC121" s="17">
        <v>2950</v>
      </c>
      <c r="AD121" s="14">
        <f t="shared" si="50"/>
        <v>6.8169633778862333E-3</v>
      </c>
      <c r="AE121" s="14">
        <f t="shared" si="51"/>
        <v>-0.94381167522285891</v>
      </c>
      <c r="AF121" s="14">
        <f t="shared" si="58"/>
        <v>-0.25482915231017195</v>
      </c>
      <c r="AG121" s="14">
        <f t="shared" si="59"/>
        <v>-0.29414176113555141</v>
      </c>
      <c r="AH121" s="14">
        <f t="shared" si="60"/>
        <v>-2.6150398092122678</v>
      </c>
      <c r="AI121" s="14">
        <f t="shared" si="77"/>
        <v>0.12674766764867584</v>
      </c>
      <c r="AJ121" s="14">
        <f t="shared" si="78"/>
        <v>-3.4576460641458945E-2</v>
      </c>
      <c r="AK121" s="14">
        <f t="shared" si="79"/>
        <v>-0.10000000000000009</v>
      </c>
      <c r="AL121" s="14">
        <f t="shared" si="80"/>
        <v>0.15700374883593149</v>
      </c>
    </row>
    <row r="122" spans="1:38" ht="17.25" customHeight="1" x14ac:dyDescent="0.2">
      <c r="A122" s="19" t="s">
        <v>13</v>
      </c>
      <c r="B122" s="19">
        <v>2014</v>
      </c>
      <c r="C122" s="14">
        <v>1</v>
      </c>
      <c r="D122" s="14">
        <v>0</v>
      </c>
      <c r="E122" s="14">
        <v>0</v>
      </c>
      <c r="F122" s="14">
        <v>999.33</v>
      </c>
      <c r="G122" s="16">
        <f t="shared" si="52"/>
        <v>-1.3920681003138491</v>
      </c>
      <c r="H122" s="14">
        <f t="shared" si="45"/>
        <v>6.9070850544318327</v>
      </c>
      <c r="I122" s="17">
        <v>177327</v>
      </c>
      <c r="J122" s="15">
        <v>-889</v>
      </c>
      <c r="K122" s="14">
        <f t="shared" si="46"/>
        <v>-0.50133369424847884</v>
      </c>
      <c r="L122" s="16">
        <f t="shared" si="53"/>
        <v>-1.5076049043148594</v>
      </c>
      <c r="M122" s="14">
        <v>1.0281149308624065</v>
      </c>
      <c r="N122" s="16">
        <f t="shared" si="54"/>
        <v>6.0154245243822686E-2</v>
      </c>
      <c r="O122" s="14">
        <v>1.95</v>
      </c>
      <c r="P122" s="17">
        <v>0</v>
      </c>
      <c r="Q122" s="14">
        <v>44555</v>
      </c>
      <c r="R122" s="14">
        <f>[1]Feuil1!J156/panel_choc_taux_suisse_2014_202!Q122</f>
        <v>14247.836007930275</v>
      </c>
      <c r="S122" s="14">
        <v>45.4</v>
      </c>
      <c r="T122" s="17">
        <f t="shared" si="47"/>
        <v>-0.70459939967669405</v>
      </c>
      <c r="U122" s="17">
        <f t="shared" si="48"/>
        <v>0.47265927363324206</v>
      </c>
      <c r="V122" s="14">
        <v>75897.337620000006</v>
      </c>
      <c r="W122" s="16">
        <f t="shared" si="55"/>
        <v>-0.72043990711834116</v>
      </c>
      <c r="X122" s="14">
        <f t="shared" si="49"/>
        <v>11.237136885298137</v>
      </c>
      <c r="Y122" s="14">
        <v>5.0999999999999996</v>
      </c>
      <c r="Z122" s="16">
        <f t="shared" si="56"/>
        <v>2.2107941698375622</v>
      </c>
      <c r="AA122" s="14">
        <f t="shared" si="57"/>
        <v>1.62924053973028</v>
      </c>
      <c r="AB122" s="14">
        <v>32241</v>
      </c>
      <c r="AC122" s="17">
        <v>573</v>
      </c>
      <c r="AD122" s="14">
        <f t="shared" si="50"/>
        <v>3.2313184117477882E-3</v>
      </c>
      <c r="AE122" s="14">
        <f t="shared" si="51"/>
        <v>-0.11597006302172599</v>
      </c>
      <c r="AF122" s="14">
        <f t="shared" si="58"/>
        <v>0</v>
      </c>
      <c r="AG122" s="14">
        <f t="shared" si="59"/>
        <v>0</v>
      </c>
      <c r="AH122" s="14">
        <f t="shared" si="60"/>
        <v>5.5297297030243815E-3</v>
      </c>
      <c r="AI122" s="14">
        <v>0</v>
      </c>
      <c r="AJ122" s="14">
        <v>0</v>
      </c>
      <c r="AK122" s="14">
        <v>0</v>
      </c>
      <c r="AL122" s="14">
        <v>0</v>
      </c>
    </row>
    <row r="123" spans="1:38" ht="17.25" customHeight="1" x14ac:dyDescent="0.2">
      <c r="A123" s="19" t="s">
        <v>13</v>
      </c>
      <c r="B123" s="19">
        <v>2015</v>
      </c>
      <c r="C123" s="14">
        <v>1</v>
      </c>
      <c r="D123" s="14">
        <v>0</v>
      </c>
      <c r="E123" s="14">
        <v>0</v>
      </c>
      <c r="F123" s="14">
        <v>956.17</v>
      </c>
      <c r="G123" s="16">
        <f t="shared" si="52"/>
        <v>-1.6108478591860476</v>
      </c>
      <c r="H123" s="14">
        <f t="shared" si="45"/>
        <v>6.8629357215103228</v>
      </c>
      <c r="I123" s="17">
        <v>178107</v>
      </c>
      <c r="J123" s="15">
        <v>-820</v>
      </c>
      <c r="K123" s="14">
        <f t="shared" si="46"/>
        <v>-0.46039740156198244</v>
      </c>
      <c r="L123" s="16">
        <f t="shared" si="53"/>
        <v>-1.3809486623807583</v>
      </c>
      <c r="M123" s="14">
        <v>1.0174024043472965</v>
      </c>
      <c r="N123" s="16">
        <f t="shared" si="54"/>
        <v>-0.38706256531446542</v>
      </c>
      <c r="O123" s="14">
        <v>1.84</v>
      </c>
      <c r="P123" s="17">
        <v>-0.10999999999999988</v>
      </c>
      <c r="Q123" s="14">
        <v>45572</v>
      </c>
      <c r="R123" s="14">
        <f>[1]Feuil1!J157/panel_choc_taux_suisse_2014_202!Q123</f>
        <v>14396.607289746627</v>
      </c>
      <c r="S123" s="14">
        <v>45.8</v>
      </c>
      <c r="T123" s="17">
        <f t="shared" si="47"/>
        <v>-0.70209758740911032</v>
      </c>
      <c r="U123" s="17">
        <f t="shared" si="48"/>
        <v>0.51304422635905289</v>
      </c>
      <c r="V123" s="14">
        <v>76200.92697</v>
      </c>
      <c r="W123" s="16">
        <f t="shared" si="55"/>
        <v>-0.70321542475243459</v>
      </c>
      <c r="X123" s="14">
        <f t="shared" si="49"/>
        <v>11.241128906561375</v>
      </c>
      <c r="Y123" s="14">
        <v>5.3</v>
      </c>
      <c r="Z123" s="16">
        <f t="shared" si="56"/>
        <v>2.3830724507180561</v>
      </c>
      <c r="AA123" s="14">
        <f t="shared" si="57"/>
        <v>1.6677068205580761</v>
      </c>
      <c r="AB123" s="14">
        <v>32633</v>
      </c>
      <c r="AC123" s="17">
        <v>488</v>
      </c>
      <c r="AD123" s="14">
        <f t="shared" si="50"/>
        <v>2.7399259995396024E-3</v>
      </c>
      <c r="AE123" s="14">
        <f t="shared" si="51"/>
        <v>-9.4526680525028717E-2</v>
      </c>
      <c r="AF123" s="14">
        <f t="shared" si="58"/>
        <v>1.0397934857753147E-2</v>
      </c>
      <c r="AG123" s="14">
        <f t="shared" si="59"/>
        <v>1.0344248166221438E-2</v>
      </c>
      <c r="AH123" s="14">
        <f t="shared" si="60"/>
        <v>0.11245827813961445</v>
      </c>
      <c r="AI123" s="14">
        <f t="shared" ref="AI123:AI131" si="81">LN(F123)-LN(F122)</f>
        <v>-4.414933292150991E-2</v>
      </c>
      <c r="AJ123" s="14">
        <f t="shared" ref="AJ123:AJ131" si="82">K123-K122</f>
        <v>4.0936292686496401E-2</v>
      </c>
      <c r="AK123" s="14">
        <f t="shared" ref="AK123:AK131" si="83">Y123-Y122</f>
        <v>0.20000000000000018</v>
      </c>
      <c r="AL123" s="14">
        <f t="shared" ref="AL123:AL131" si="84">LN(V123)-LN(V122)</f>
        <v>3.9920212632384988E-3</v>
      </c>
    </row>
    <row r="124" spans="1:38" ht="17.25" customHeight="1" x14ac:dyDescent="0.2">
      <c r="A124" s="19" t="s">
        <v>13</v>
      </c>
      <c r="B124" s="19">
        <v>2016</v>
      </c>
      <c r="C124" s="14">
        <v>1</v>
      </c>
      <c r="D124" s="14">
        <v>0</v>
      </c>
      <c r="E124" s="14">
        <v>0</v>
      </c>
      <c r="F124" s="14">
        <v>948.33</v>
      </c>
      <c r="G124" s="16">
        <f t="shared" si="52"/>
        <v>-1.6505891314186243</v>
      </c>
      <c r="H124" s="14">
        <f t="shared" si="45"/>
        <v>6.8547025429476554</v>
      </c>
      <c r="I124" s="17">
        <v>178567</v>
      </c>
      <c r="J124" s="15">
        <v>-892</v>
      </c>
      <c r="K124" s="14">
        <f t="shared" si="46"/>
        <v>-0.49953238840323244</v>
      </c>
      <c r="L124" s="16">
        <f t="shared" si="53"/>
        <v>-1.5020316925274595</v>
      </c>
      <c r="M124" s="14">
        <v>0.98347652295718835</v>
      </c>
      <c r="N124" s="16">
        <f t="shared" si="54"/>
        <v>-1.8033693953850858</v>
      </c>
      <c r="O124" s="14">
        <v>1.71</v>
      </c>
      <c r="P124" s="17">
        <v>-0.13000000000000012</v>
      </c>
      <c r="Q124" s="14">
        <v>46068</v>
      </c>
      <c r="R124" s="14">
        <f>[1]Feuil1!J158/panel_choc_taux_suisse_2014_202!Q124</f>
        <v>14664.910369815634</v>
      </c>
      <c r="S124" s="14">
        <v>46.5</v>
      </c>
      <c r="T124" s="17">
        <f t="shared" si="47"/>
        <v>-0.69758566865065208</v>
      </c>
      <c r="U124" s="17">
        <f t="shared" si="48"/>
        <v>0.58371789362922244</v>
      </c>
      <c r="V124" s="14">
        <v>76734.333459999994</v>
      </c>
      <c r="W124" s="16">
        <f t="shared" si="55"/>
        <v>-0.6729520091192277</v>
      </c>
      <c r="X124" s="14">
        <f t="shared" si="49"/>
        <v>11.24810452031357</v>
      </c>
      <c r="Y124" s="14">
        <v>5.8</v>
      </c>
      <c r="Z124" s="16">
        <f t="shared" si="56"/>
        <v>2.8137681529192893</v>
      </c>
      <c r="AA124" s="14">
        <f t="shared" si="57"/>
        <v>1.7578579175523736</v>
      </c>
      <c r="AB124" s="14">
        <v>32924</v>
      </c>
      <c r="AC124" s="17">
        <v>540</v>
      </c>
      <c r="AD124" s="14">
        <f t="shared" si="50"/>
        <v>3.0240749970599271E-3</v>
      </c>
      <c r="AE124" s="14">
        <f t="shared" si="51"/>
        <v>-5.693388751071482E-2</v>
      </c>
      <c r="AF124" s="14">
        <f t="shared" si="58"/>
        <v>7.4014053763929331E-3</v>
      </c>
      <c r="AG124" s="14">
        <f t="shared" si="59"/>
        <v>7.3741493814406828E-3</v>
      </c>
      <c r="AH124" s="14">
        <f t="shared" si="60"/>
        <v>8.164306798753497E-2</v>
      </c>
      <c r="AI124" s="14">
        <f t="shared" si="81"/>
        <v>-8.2331785626674758E-3</v>
      </c>
      <c r="AJ124" s="14">
        <f t="shared" si="82"/>
        <v>-3.9134986841249997E-2</v>
      </c>
      <c r="AK124" s="14">
        <f t="shared" si="83"/>
        <v>0.5</v>
      </c>
      <c r="AL124" s="14">
        <f t="shared" si="84"/>
        <v>6.975613752194576E-3</v>
      </c>
    </row>
    <row r="125" spans="1:38" ht="17.25" customHeight="1" x14ac:dyDescent="0.2">
      <c r="A125" s="19" t="s">
        <v>13</v>
      </c>
      <c r="B125" s="19">
        <v>2017</v>
      </c>
      <c r="C125" s="14">
        <v>1</v>
      </c>
      <c r="D125" s="14">
        <v>0</v>
      </c>
      <c r="E125" s="14">
        <v>0</v>
      </c>
      <c r="F125" s="14">
        <v>976.5</v>
      </c>
      <c r="G125" s="16">
        <f t="shared" si="52"/>
        <v>-1.5077942795319281</v>
      </c>
      <c r="H125" s="14">
        <f t="shared" si="45"/>
        <v>6.8839747503167334</v>
      </c>
      <c r="I125" s="17">
        <v>177964</v>
      </c>
      <c r="J125" s="15">
        <v>-989</v>
      </c>
      <c r="K125" s="14">
        <f t="shared" si="46"/>
        <v>-0.55573037243487444</v>
      </c>
      <c r="L125" s="16">
        <f t="shared" si="53"/>
        <v>-1.6759073660338772</v>
      </c>
      <c r="M125" s="14">
        <v>1.0635156673797794</v>
      </c>
      <c r="N125" s="16">
        <f t="shared" si="54"/>
        <v>1.5380319853253162</v>
      </c>
      <c r="O125" s="14">
        <v>1.56</v>
      </c>
      <c r="P125" s="17">
        <v>-0.14999999999999991</v>
      </c>
      <c r="Q125" s="14">
        <v>45632</v>
      </c>
      <c r="R125" s="14">
        <f>[1]Feuil1!J159/panel_choc_taux_suisse_2014_202!Q125</f>
        <v>15172.959968151003</v>
      </c>
      <c r="S125" s="14">
        <v>46.1</v>
      </c>
      <c r="T125" s="17">
        <f t="shared" si="47"/>
        <v>-0.68904205255661755</v>
      </c>
      <c r="U125" s="17">
        <f t="shared" si="48"/>
        <v>0.54333294090341155</v>
      </c>
      <c r="V125" s="14">
        <v>77041.270799999998</v>
      </c>
      <c r="W125" s="16">
        <f t="shared" si="55"/>
        <v>-0.6555375747845964</v>
      </c>
      <c r="X125" s="14">
        <f t="shared" si="49"/>
        <v>11.252096541663063</v>
      </c>
      <c r="Y125" s="14">
        <v>5.6</v>
      </c>
      <c r="Z125" s="16">
        <f t="shared" si="56"/>
        <v>2.6414898720387958</v>
      </c>
      <c r="AA125" s="14">
        <f t="shared" si="57"/>
        <v>1.7227665977411035</v>
      </c>
      <c r="AB125" s="14">
        <v>33458</v>
      </c>
      <c r="AC125" s="17">
        <v>623</v>
      </c>
      <c r="AD125" s="14">
        <f t="shared" si="50"/>
        <v>3.5007080083612418E-3</v>
      </c>
      <c r="AE125" s="14">
        <f t="shared" si="51"/>
        <v>-7.2854555826602996E-2</v>
      </c>
      <c r="AF125" s="14">
        <f t="shared" si="58"/>
        <v>1.0928183373990442E-2</v>
      </c>
      <c r="AG125" s="14">
        <f t="shared" si="59"/>
        <v>1.0868902276825075E-2</v>
      </c>
      <c r="AH125" s="14">
        <f t="shared" si="60"/>
        <v>0.1179111594018617</v>
      </c>
      <c r="AI125" s="14">
        <f t="shared" si="81"/>
        <v>2.9272207369078096E-2</v>
      </c>
      <c r="AJ125" s="14">
        <f t="shared" si="82"/>
        <v>-5.6197984031642001E-2</v>
      </c>
      <c r="AK125" s="14">
        <f t="shared" si="83"/>
        <v>-0.20000000000000018</v>
      </c>
      <c r="AL125" s="14">
        <f t="shared" si="84"/>
        <v>3.9920213494930579E-3</v>
      </c>
    </row>
    <row r="126" spans="1:38" ht="17.25" customHeight="1" x14ac:dyDescent="0.2">
      <c r="A126" s="19" t="s">
        <v>13</v>
      </c>
      <c r="B126" s="19">
        <v>2018</v>
      </c>
      <c r="C126" s="14">
        <v>1</v>
      </c>
      <c r="D126" s="14">
        <v>0</v>
      </c>
      <c r="E126" s="14">
        <v>0</v>
      </c>
      <c r="F126" s="14">
        <v>996</v>
      </c>
      <c r="G126" s="16">
        <f t="shared" si="52"/>
        <v>-1.4089480029330435</v>
      </c>
      <c r="H126" s="14">
        <f t="shared" si="45"/>
        <v>6.9037472575845982</v>
      </c>
      <c r="I126" s="17">
        <v>176850</v>
      </c>
      <c r="J126" s="15">
        <v>-1217</v>
      </c>
      <c r="K126" s="14">
        <f t="shared" si="46"/>
        <v>-0.6881538026576195</v>
      </c>
      <c r="L126" s="16">
        <f t="shared" si="53"/>
        <v>-2.0856233641210271</v>
      </c>
      <c r="M126" s="14">
        <v>1.0301138707197743</v>
      </c>
      <c r="N126" s="16">
        <f t="shared" si="54"/>
        <v>0.14360416774800241</v>
      </c>
      <c r="O126" s="14">
        <v>1.5</v>
      </c>
      <c r="P126" s="17">
        <v>-6.0000000000000053E-2</v>
      </c>
      <c r="Q126" s="14">
        <v>44042</v>
      </c>
      <c r="R126" s="14">
        <f>[1]Feuil1!J160/panel_choc_taux_suisse_2014_202!Q126</f>
        <v>16140.02861397454</v>
      </c>
      <c r="S126" s="14">
        <v>44.1</v>
      </c>
      <c r="T126" s="17">
        <f t="shared" si="47"/>
        <v>-0.67277934262915062</v>
      </c>
      <c r="U126" s="17">
        <f t="shared" si="48"/>
        <v>0.34140817727435663</v>
      </c>
      <c r="V126" s="14">
        <v>77426.477150000006</v>
      </c>
      <c r="W126" s="16">
        <f t="shared" si="55"/>
        <v>-0.63368246035844655</v>
      </c>
      <c r="X126" s="14">
        <f t="shared" si="49"/>
        <v>11.257084083122441</v>
      </c>
      <c r="Y126" s="14">
        <v>4.5</v>
      </c>
      <c r="Z126" s="16">
        <f t="shared" si="56"/>
        <v>1.6939593271960824</v>
      </c>
      <c r="AA126" s="14">
        <f t="shared" si="57"/>
        <v>1.5040773967762742</v>
      </c>
      <c r="AB126" s="14">
        <v>33677</v>
      </c>
      <c r="AC126" s="17">
        <v>523</v>
      </c>
      <c r="AD126" s="14">
        <f t="shared" si="50"/>
        <v>2.9573084534916597E-3</v>
      </c>
      <c r="AE126" s="14">
        <f t="shared" si="51"/>
        <v>-0.165685582677397</v>
      </c>
      <c r="AF126" s="14">
        <f t="shared" si="58"/>
        <v>9.9411349606438291E-3</v>
      </c>
      <c r="AG126" s="14">
        <f t="shared" si="59"/>
        <v>9.8920469375092628E-3</v>
      </c>
      <c r="AH126" s="14">
        <f t="shared" si="60"/>
        <v>0.10776071553780009</v>
      </c>
      <c r="AI126" s="14">
        <f t="shared" si="81"/>
        <v>1.9772507267864725E-2</v>
      </c>
      <c r="AJ126" s="14">
        <f t="shared" si="82"/>
        <v>-0.13242343022274505</v>
      </c>
      <c r="AK126" s="14">
        <f t="shared" si="83"/>
        <v>-1.0999999999999996</v>
      </c>
      <c r="AL126" s="14">
        <f t="shared" si="84"/>
        <v>4.9875414593785194E-3</v>
      </c>
    </row>
    <row r="127" spans="1:38" ht="17.25" customHeight="1" x14ac:dyDescent="0.2">
      <c r="A127" s="19" t="s">
        <v>13</v>
      </c>
      <c r="B127" s="19">
        <v>2019</v>
      </c>
      <c r="C127" s="14">
        <v>1</v>
      </c>
      <c r="D127" s="14">
        <v>0</v>
      </c>
      <c r="E127" s="14">
        <v>0</v>
      </c>
      <c r="F127" s="14">
        <v>1005.5</v>
      </c>
      <c r="G127" s="16">
        <f t="shared" si="52"/>
        <v>-1.360792124589997</v>
      </c>
      <c r="H127" s="14">
        <f t="shared" si="45"/>
        <v>6.9132402092127068</v>
      </c>
      <c r="I127" s="17">
        <v>176496</v>
      </c>
      <c r="J127" s="15">
        <v>-1092</v>
      </c>
      <c r="K127" s="14">
        <f t="shared" si="46"/>
        <v>-0.6187109056295893</v>
      </c>
      <c r="L127" s="16">
        <f t="shared" si="53"/>
        <v>-1.8707681393466451</v>
      </c>
      <c r="M127" s="14">
        <v>1.036888899675622</v>
      </c>
      <c r="N127" s="16">
        <f t="shared" si="54"/>
        <v>0.42644191258817377</v>
      </c>
      <c r="O127" s="14">
        <v>1.43</v>
      </c>
      <c r="P127" s="17">
        <v>-7.0000000000000062E-2</v>
      </c>
      <c r="Q127" s="14">
        <v>43851</v>
      </c>
      <c r="R127" s="14">
        <f>[1]Feuil1!J161/panel_choc_taux_suisse_2014_202!Q127</f>
        <v>16651.085567793965</v>
      </c>
      <c r="S127" s="14">
        <v>44.1</v>
      </c>
      <c r="T127" s="17">
        <f t="shared" si="47"/>
        <v>-0.66418515334147854</v>
      </c>
      <c r="U127" s="17">
        <f t="shared" si="48"/>
        <v>0.34140817727435663</v>
      </c>
      <c r="V127" s="14">
        <v>78123</v>
      </c>
      <c r="W127" s="16">
        <f t="shared" si="55"/>
        <v>-0.59416445504213344</v>
      </c>
      <c r="X127" s="14">
        <f t="shared" si="49"/>
        <v>11.266039786711017</v>
      </c>
      <c r="Y127" s="14">
        <v>3.5</v>
      </c>
      <c r="Z127" s="16">
        <f t="shared" si="56"/>
        <v>0.83256792279361558</v>
      </c>
      <c r="AA127" s="14">
        <f t="shared" si="57"/>
        <v>1.2527629684953681</v>
      </c>
      <c r="AB127" s="14">
        <v>33980</v>
      </c>
      <c r="AC127" s="17">
        <v>691</v>
      </c>
      <c r="AD127" s="14">
        <f t="shared" si="50"/>
        <v>3.9151028918502405E-3</v>
      </c>
      <c r="AE127" s="14">
        <f t="shared" si="51"/>
        <v>-0.16138848803356096</v>
      </c>
      <c r="AF127" s="14">
        <f t="shared" si="58"/>
        <v>1.1297194162349276E-2</v>
      </c>
      <c r="AG127" s="14">
        <f t="shared" si="59"/>
        <v>1.123385743617933E-2</v>
      </c>
      <c r="AH127" s="14">
        <f t="shared" si="60"/>
        <v>0.12170593100761286</v>
      </c>
      <c r="AI127" s="14">
        <f t="shared" si="81"/>
        <v>9.4929516281085924E-3</v>
      </c>
      <c r="AJ127" s="14">
        <f t="shared" si="82"/>
        <v>6.9442897028030193E-2</v>
      </c>
      <c r="AK127" s="14">
        <f t="shared" si="83"/>
        <v>-1</v>
      </c>
      <c r="AL127" s="14">
        <f t="shared" si="84"/>
        <v>8.9557035885761138E-3</v>
      </c>
    </row>
    <row r="128" spans="1:38" ht="17.25" customHeight="1" x14ac:dyDescent="0.2">
      <c r="A128" s="19" t="s">
        <v>13</v>
      </c>
      <c r="B128" s="19">
        <v>2020</v>
      </c>
      <c r="C128" s="14">
        <v>1</v>
      </c>
      <c r="D128" s="14">
        <v>0</v>
      </c>
      <c r="E128" s="14">
        <v>0</v>
      </c>
      <c r="F128" s="14">
        <v>1029.83</v>
      </c>
      <c r="G128" s="16">
        <f t="shared" si="52"/>
        <v>-1.2374623856335429</v>
      </c>
      <c r="H128" s="14">
        <f t="shared" si="45"/>
        <v>6.9371490190579825</v>
      </c>
      <c r="I128" s="17">
        <v>175894</v>
      </c>
      <c r="J128" s="15">
        <v>-955</v>
      </c>
      <c r="K128" s="14">
        <f t="shared" si="46"/>
        <v>-0.54294063470044451</v>
      </c>
      <c r="L128" s="16">
        <f t="shared" si="53"/>
        <v>-1.6363361198252528</v>
      </c>
      <c r="M128" s="14">
        <v>1.0413346451454319</v>
      </c>
      <c r="N128" s="16">
        <f t="shared" si="54"/>
        <v>0.61203884966534006</v>
      </c>
      <c r="O128" s="14">
        <v>1.33</v>
      </c>
      <c r="P128" s="17">
        <v>-9.9999999999999867E-2</v>
      </c>
      <c r="Q128" s="14">
        <v>44088</v>
      </c>
      <c r="R128" s="14">
        <f>[1]Feuil1!J162/panel_choc_taux_suisse_2014_202!Q128</f>
        <v>16998.202849414807</v>
      </c>
      <c r="S128" s="14">
        <v>44.3</v>
      </c>
      <c r="T128" s="17">
        <f t="shared" si="47"/>
        <v>-0.65834785555895836</v>
      </c>
      <c r="U128" s="17">
        <f t="shared" si="48"/>
        <v>0.36160065363726174</v>
      </c>
      <c r="V128" s="14">
        <v>78748.30197</v>
      </c>
      <c r="W128" s="16">
        <f t="shared" si="55"/>
        <v>-0.55868724625456634</v>
      </c>
      <c r="X128" s="14">
        <f t="shared" si="49"/>
        <v>11.274011994169696</v>
      </c>
      <c r="Y128" s="14">
        <v>4.8</v>
      </c>
      <c r="Z128" s="16">
        <f t="shared" si="56"/>
        <v>1.9523767485168224</v>
      </c>
      <c r="AA128" s="14">
        <f t="shared" si="57"/>
        <v>1.5686159179138452</v>
      </c>
      <c r="AB128" s="14">
        <v>34128</v>
      </c>
      <c r="AC128" s="17">
        <v>439</v>
      </c>
      <c r="AD128" s="14">
        <f t="shared" si="50"/>
        <v>2.4958213469475935E-3</v>
      </c>
      <c r="AE128" s="14">
        <f t="shared" si="51"/>
        <v>-0.14837360096084831</v>
      </c>
      <c r="AF128" s="14">
        <f t="shared" si="58"/>
        <v>1.4837360096084811E-2</v>
      </c>
      <c r="AG128" s="14">
        <f t="shared" si="59"/>
        <v>1.4728363295996574E-2</v>
      </c>
      <c r="AH128" s="14">
        <f t="shared" si="60"/>
        <v>0.15811169904690259</v>
      </c>
      <c r="AI128" s="14">
        <f t="shared" si="81"/>
        <v>2.3908809845275769E-2</v>
      </c>
      <c r="AJ128" s="14">
        <f t="shared" si="82"/>
        <v>7.577027092914479E-2</v>
      </c>
      <c r="AK128" s="14">
        <f t="shared" si="83"/>
        <v>1.2999999999999998</v>
      </c>
      <c r="AL128" s="14">
        <f t="shared" si="84"/>
        <v>7.9722074586783265E-3</v>
      </c>
    </row>
    <row r="129" spans="1:38" ht="17.25" customHeight="1" x14ac:dyDescent="0.2">
      <c r="A129" s="19" t="s">
        <v>13</v>
      </c>
      <c r="B129" s="19">
        <v>2021</v>
      </c>
      <c r="C129" s="14">
        <v>1</v>
      </c>
      <c r="D129" s="14">
        <v>0</v>
      </c>
      <c r="E129" s="14">
        <v>0</v>
      </c>
      <c r="F129" s="14">
        <v>1045.67</v>
      </c>
      <c r="G129" s="16">
        <f t="shared" si="52"/>
        <v>-1.1571687947962943</v>
      </c>
      <c r="H129" s="14">
        <f t="shared" si="45"/>
        <v>6.9524131072764934</v>
      </c>
      <c r="I129" s="17">
        <v>176166</v>
      </c>
      <c r="J129" s="15">
        <v>-732</v>
      </c>
      <c r="K129" s="14">
        <f t="shared" si="46"/>
        <v>-0.41551718265726645</v>
      </c>
      <c r="L129" s="16">
        <f t="shared" si="53"/>
        <v>-1.2420899751228811</v>
      </c>
      <c r="M129" s="14">
        <v>1.0457435779736526</v>
      </c>
      <c r="N129" s="16">
        <f t="shared" si="54"/>
        <v>0.79609896607405228</v>
      </c>
      <c r="O129" s="14">
        <v>1.25</v>
      </c>
      <c r="P129" s="17">
        <v>-8.0000000000000071E-2</v>
      </c>
      <c r="Q129" s="14">
        <v>44513</v>
      </c>
      <c r="R129" s="14">
        <f>[1]Feuil1!J163/panel_choc_taux_suisse_2014_202!Q129</f>
        <v>17369.07838271965</v>
      </c>
      <c r="S129" s="14">
        <v>44.4</v>
      </c>
      <c r="T129" s="17">
        <f t="shared" si="47"/>
        <v>-0.65211102713588931</v>
      </c>
      <c r="U129" s="17">
        <f t="shared" si="48"/>
        <v>0.37169689181871463</v>
      </c>
      <c r="V129" s="14">
        <v>78590.805359999998</v>
      </c>
      <c r="W129" s="16">
        <f t="shared" si="55"/>
        <v>-0.56762299311668496</v>
      </c>
      <c r="X129" s="14">
        <f t="shared" si="49"/>
        <v>11.272009991421914</v>
      </c>
      <c r="Y129" s="14">
        <v>4.4000000000000004</v>
      </c>
      <c r="Z129" s="16">
        <f t="shared" si="56"/>
        <v>1.6078201867558362</v>
      </c>
      <c r="AA129" s="14">
        <f t="shared" si="57"/>
        <v>1.4816045409242156</v>
      </c>
      <c r="AB129" s="14">
        <v>34603</v>
      </c>
      <c r="AC129" s="17">
        <v>621</v>
      </c>
      <c r="AD129" s="14">
        <f t="shared" si="50"/>
        <v>3.5250842954940229E-3</v>
      </c>
      <c r="AE129" s="14">
        <f t="shared" si="51"/>
        <v>-0.14020706765858734</v>
      </c>
      <c r="AF129" s="14">
        <f t="shared" si="58"/>
        <v>1.1216565412686997E-2</v>
      </c>
      <c r="AG129" s="14">
        <f t="shared" si="59"/>
        <v>1.1154126211288333E-2</v>
      </c>
      <c r="AH129" s="14">
        <f t="shared" si="60"/>
        <v>0.12087677451821476</v>
      </c>
      <c r="AI129" s="14">
        <f t="shared" si="81"/>
        <v>1.5264088218510885E-2</v>
      </c>
      <c r="AJ129" s="14">
        <f t="shared" si="82"/>
        <v>0.12742345204317806</v>
      </c>
      <c r="AK129" s="14">
        <f t="shared" si="83"/>
        <v>-0.39999999999999947</v>
      </c>
      <c r="AL129" s="14">
        <f t="shared" si="84"/>
        <v>-2.0020027477816171E-3</v>
      </c>
    </row>
    <row r="130" spans="1:38" ht="17.25" customHeight="1" x14ac:dyDescent="0.2">
      <c r="A130" s="19" t="s">
        <v>13</v>
      </c>
      <c r="B130" s="19">
        <v>2022</v>
      </c>
      <c r="C130" s="14">
        <v>1</v>
      </c>
      <c r="D130" s="14">
        <v>0</v>
      </c>
      <c r="E130" s="14">
        <v>0</v>
      </c>
      <c r="F130" s="14">
        <v>1049.17</v>
      </c>
      <c r="G130" s="16">
        <f t="shared" si="52"/>
        <v>-1.139427155406751</v>
      </c>
      <c r="H130" s="14">
        <f t="shared" ref="H130:H193" si="85">LN(F130)</f>
        <v>6.9557546543700477</v>
      </c>
      <c r="I130" s="17">
        <v>176571</v>
      </c>
      <c r="J130" s="15">
        <v>-805</v>
      </c>
      <c r="K130" s="14">
        <f t="shared" ref="K130:K193" si="86">(J130/I130)*100</f>
        <v>-0.45590725543832222</v>
      </c>
      <c r="L130" s="16">
        <f t="shared" si="53"/>
        <v>-1.3670562213110917</v>
      </c>
      <c r="M130" s="14">
        <v>0.98600652141555722</v>
      </c>
      <c r="N130" s="16">
        <f t="shared" si="54"/>
        <v>-1.6977493215702677</v>
      </c>
      <c r="O130" s="14">
        <v>1.21</v>
      </c>
      <c r="P130" s="17">
        <v>-4.0000000000000036E-2</v>
      </c>
      <c r="Q130" s="14">
        <v>44544</v>
      </c>
      <c r="R130" s="14">
        <f>[1]Feuil1!J164/panel_choc_taux_suisse_2014_202!Q130</f>
        <v>17872.945794420499</v>
      </c>
      <c r="S130" s="14">
        <v>43.6</v>
      </c>
      <c r="T130" s="17">
        <f t="shared" ref="T130:T193" si="87">(R130-AVERAGE($R$2:$R$261))/STDEV($R$2:$R$261)</f>
        <v>-0.64363774078358871</v>
      </c>
      <c r="U130" s="17">
        <f t="shared" ref="U130:U193" si="88">(S130-AVERAGE($S$2:$S$261))/STDEV($S$2:$S$261)</f>
        <v>0.29092698636709291</v>
      </c>
      <c r="V130" s="14">
        <v>79298.122610000006</v>
      </c>
      <c r="W130" s="16">
        <f t="shared" si="55"/>
        <v>-0.52749255540624873</v>
      </c>
      <c r="X130" s="14">
        <f t="shared" ref="X130:X193" si="89">LN(V130)</f>
        <v>11.280969732815581</v>
      </c>
      <c r="Y130" s="14">
        <v>3</v>
      </c>
      <c r="Z130" s="16">
        <f t="shared" si="56"/>
        <v>0.40187222059238209</v>
      </c>
      <c r="AA130" s="14">
        <f t="shared" si="57"/>
        <v>1.0986122886681098</v>
      </c>
      <c r="AB130" s="14">
        <v>34940</v>
      </c>
      <c r="AC130" s="17">
        <v>418</v>
      </c>
      <c r="AD130" s="14">
        <f t="shared" ref="AD130:AD193" si="90">AC130/I130</f>
        <v>2.3673196617791143E-3</v>
      </c>
      <c r="AE130" s="14">
        <f t="shared" ref="AE130:AE193" si="91">0.5*T130+0.5*U130</f>
        <v>-0.1763553772082479</v>
      </c>
      <c r="AF130" s="14">
        <f t="shared" si="58"/>
        <v>7.0542150883299223E-3</v>
      </c>
      <c r="AG130" s="14">
        <f t="shared" si="59"/>
        <v>7.0294505079846869E-3</v>
      </c>
      <c r="AH130" s="14">
        <f t="shared" si="60"/>
        <v>7.8072690403742206E-2</v>
      </c>
      <c r="AI130" s="14">
        <f t="shared" si="81"/>
        <v>3.3415470935542757E-3</v>
      </c>
      <c r="AJ130" s="14">
        <f t="shared" si="82"/>
        <v>-4.0390072781055775E-2</v>
      </c>
      <c r="AK130" s="14">
        <f t="shared" si="83"/>
        <v>-1.4000000000000004</v>
      </c>
      <c r="AL130" s="14">
        <f t="shared" si="84"/>
        <v>8.9597413936672865E-3</v>
      </c>
    </row>
    <row r="131" spans="1:38" ht="17.25" customHeight="1" x14ac:dyDescent="0.2">
      <c r="A131" s="19" t="s">
        <v>13</v>
      </c>
      <c r="B131" s="19">
        <v>2023</v>
      </c>
      <c r="C131" s="14">
        <v>1</v>
      </c>
      <c r="D131" s="14">
        <v>0</v>
      </c>
      <c r="E131" s="14">
        <v>0</v>
      </c>
      <c r="F131" s="14">
        <v>1206</v>
      </c>
      <c r="G131" s="16">
        <f t="shared" ref="G131:G194" si="92">(F131-AVERAGE($F$2:$F$261))/STDEV($F$2:$F$261)</f>
        <v>-0.34444963956043961</v>
      </c>
      <c r="H131" s="14">
        <f t="shared" si="85"/>
        <v>7.0950643772871311</v>
      </c>
      <c r="I131" s="17">
        <v>178291</v>
      </c>
      <c r="J131" s="15">
        <v>-840</v>
      </c>
      <c r="K131" s="14">
        <f t="shared" si="86"/>
        <v>-0.47113987806451252</v>
      </c>
      <c r="L131" s="16">
        <f t="shared" ref="L131:L194" si="93">(K131-AVERAGE($K$2:$K$261))/STDEV($K$2:$K$261)</f>
        <v>-1.414185714726846</v>
      </c>
      <c r="M131" s="14">
        <v>1.0341430614279774</v>
      </c>
      <c r="N131" s="16">
        <f t="shared" ref="N131:N194" si="94">(M131-AVERAGE($M$2:$M$261))/STDEV($M$2:$M$261)</f>
        <v>0.31181115562449047</v>
      </c>
      <c r="O131" s="14">
        <v>1.48</v>
      </c>
      <c r="P131" s="17">
        <v>0.27</v>
      </c>
      <c r="Q131" s="14">
        <v>45177</v>
      </c>
      <c r="R131" s="14">
        <f>[1]Feuil1!J165/panel_choc_taux_suisse_2014_202!Q131</f>
        <v>17997.838315772777</v>
      </c>
      <c r="S131" s="14">
        <v>43.5</v>
      </c>
      <c r="T131" s="17">
        <f t="shared" si="87"/>
        <v>-0.64153748569245972</v>
      </c>
      <c r="U131" s="17">
        <f t="shared" si="88"/>
        <v>0.28083074818564002</v>
      </c>
      <c r="V131" s="14">
        <v>92778.803459999996</v>
      </c>
      <c r="W131" s="16">
        <f t="shared" ref="W131:W194" si="95">(V131-AVERAGE($V$2:$V$261))/STDEV($V$2:$V$261)</f>
        <v>0.23734899645069965</v>
      </c>
      <c r="X131" s="14">
        <f t="shared" si="89"/>
        <v>11.437973481693149</v>
      </c>
      <c r="Y131" s="14">
        <v>2.7</v>
      </c>
      <c r="Z131" s="16">
        <f t="shared" ref="Z131:Z194" si="96">(Y131-AVERAGE($Y$2:$Y$261))/STDEV($Y$2:$Y$261)</f>
        <v>0.14345479927164217</v>
      </c>
      <c r="AA131" s="14">
        <f t="shared" ref="AA131:AA194" si="97">LN(Y131)</f>
        <v>0.99325177301028345</v>
      </c>
      <c r="AB131" s="14">
        <v>35383</v>
      </c>
      <c r="AC131" s="17">
        <v>490</v>
      </c>
      <c r="AD131" s="14">
        <f t="shared" si="90"/>
        <v>2.7483159553763231E-3</v>
      </c>
      <c r="AE131" s="14">
        <f t="shared" si="91"/>
        <v>-0.18035336875340985</v>
      </c>
      <c r="AF131" s="14">
        <f t="shared" ref="AF131:AF194" si="98">AE131*P131</f>
        <v>-4.8695409563420659E-2</v>
      </c>
      <c r="AG131" s="14">
        <f t="shared" ref="AG131:AG194" si="99">LN(1+AF131)</f>
        <v>-4.9920983346090755E-2</v>
      </c>
      <c r="AH131" s="14">
        <f t="shared" ref="AH131:AH194" si="100">(AF131-AVERAGE($AF$2:$AF$261))/STDEV($AF$2:$AF$261)</f>
        <v>-0.49523600227877451</v>
      </c>
      <c r="AI131" s="14">
        <f t="shared" si="81"/>
        <v>0.13930972291708343</v>
      </c>
      <c r="AJ131" s="14">
        <f t="shared" si="82"/>
        <v>-1.5232622626190295E-2</v>
      </c>
      <c r="AK131" s="14">
        <f t="shared" si="83"/>
        <v>-0.29999999999999982</v>
      </c>
      <c r="AL131" s="14">
        <f t="shared" si="84"/>
        <v>0.15700374887756752</v>
      </c>
    </row>
    <row r="132" spans="1:38" ht="17.25" customHeight="1" x14ac:dyDescent="0.2">
      <c r="A132" s="19" t="s">
        <v>12</v>
      </c>
      <c r="B132" s="19">
        <v>2014</v>
      </c>
      <c r="C132" s="14">
        <v>0</v>
      </c>
      <c r="D132" s="14">
        <v>1</v>
      </c>
      <c r="E132" s="14">
        <v>0</v>
      </c>
      <c r="F132" s="14">
        <v>1419.17</v>
      </c>
      <c r="G132" s="16">
        <f t="shared" si="92"/>
        <v>0.73611758005926531</v>
      </c>
      <c r="H132" s="14">
        <f t="shared" si="85"/>
        <v>7.2578274726622176</v>
      </c>
      <c r="I132" s="17">
        <v>42080</v>
      </c>
      <c r="J132" s="15">
        <v>-113</v>
      </c>
      <c r="K132" s="14">
        <f t="shared" si="86"/>
        <v>-0.26853612167300378</v>
      </c>
      <c r="L132" s="16">
        <f t="shared" si="93"/>
        <v>-0.7873328977704781</v>
      </c>
      <c r="M132" s="14">
        <v>1.0281149308624065</v>
      </c>
      <c r="N132" s="16">
        <f t="shared" si="94"/>
        <v>6.0154245243822686E-2</v>
      </c>
      <c r="O132" s="14">
        <v>1.95</v>
      </c>
      <c r="P132" s="17">
        <v>0</v>
      </c>
      <c r="Q132" s="14">
        <v>11582</v>
      </c>
      <c r="R132" s="14">
        <f>[1]Feuil1!J166/panel_choc_taux_suisse_2014_202!Q132</f>
        <v>54810.251539745586</v>
      </c>
      <c r="S132" s="14">
        <v>42.5</v>
      </c>
      <c r="T132" s="17">
        <f t="shared" si="87"/>
        <v>-2.2481536999491493E-2</v>
      </c>
      <c r="U132" s="17">
        <f t="shared" si="88"/>
        <v>0.17986836637111259</v>
      </c>
      <c r="V132" s="14">
        <v>102315.2409</v>
      </c>
      <c r="W132" s="16">
        <f t="shared" si="95"/>
        <v>0.77840947343664624</v>
      </c>
      <c r="X132" s="14">
        <f t="shared" si="89"/>
        <v>11.535813923247634</v>
      </c>
      <c r="Y132" s="14">
        <v>1</v>
      </c>
      <c r="Z132" s="16">
        <f t="shared" si="96"/>
        <v>-1.3209105882125518</v>
      </c>
      <c r="AA132" s="14">
        <f t="shared" si="97"/>
        <v>0</v>
      </c>
      <c r="AB132" s="14">
        <v>7535</v>
      </c>
      <c r="AC132" s="17">
        <v>273</v>
      </c>
      <c r="AD132" s="14">
        <f t="shared" si="90"/>
        <v>6.4876425855513306E-3</v>
      </c>
      <c r="AE132" s="14">
        <f t="shared" si="91"/>
        <v>7.869341468581055E-2</v>
      </c>
      <c r="AF132" s="14">
        <f t="shared" si="98"/>
        <v>0</v>
      </c>
      <c r="AG132" s="14">
        <f t="shared" si="99"/>
        <v>0</v>
      </c>
      <c r="AH132" s="14">
        <f t="shared" si="100"/>
        <v>5.5297297030243815E-3</v>
      </c>
      <c r="AI132" s="14">
        <v>0</v>
      </c>
      <c r="AJ132" s="14">
        <v>0</v>
      </c>
      <c r="AK132" s="14">
        <v>0</v>
      </c>
      <c r="AL132" s="14">
        <v>0</v>
      </c>
    </row>
    <row r="133" spans="1:38" ht="17.25" customHeight="1" x14ac:dyDescent="0.2">
      <c r="A133" s="19" t="s">
        <v>12</v>
      </c>
      <c r="B133" s="19">
        <v>2015</v>
      </c>
      <c r="C133" s="14">
        <v>0</v>
      </c>
      <c r="D133" s="14">
        <v>1</v>
      </c>
      <c r="E133" s="14">
        <v>0</v>
      </c>
      <c r="F133" s="14">
        <v>1345.33</v>
      </c>
      <c r="G133" s="16">
        <f t="shared" si="92"/>
        <v>0.36181967933815473</v>
      </c>
      <c r="H133" s="14">
        <f t="shared" si="85"/>
        <v>7.2043946151016263</v>
      </c>
      <c r="I133" s="17">
        <v>42420</v>
      </c>
      <c r="J133" s="15">
        <v>13</v>
      </c>
      <c r="K133" s="14">
        <f t="shared" si="86"/>
        <v>3.0645921735030647E-2</v>
      </c>
      <c r="L133" s="16">
        <f t="shared" si="93"/>
        <v>0.13833161128572583</v>
      </c>
      <c r="M133" s="14">
        <v>1.0174024043472965</v>
      </c>
      <c r="N133" s="16">
        <f t="shared" si="94"/>
        <v>-0.38706256531446542</v>
      </c>
      <c r="O133" s="14">
        <v>1.84</v>
      </c>
      <c r="P133" s="17">
        <v>-0.10999999999999988</v>
      </c>
      <c r="Q133" s="14">
        <v>12677</v>
      </c>
      <c r="R133" s="14">
        <f>[1]Feuil1!J167/panel_choc_taux_suisse_2014_202!Q133</f>
        <v>51753.742005863634</v>
      </c>
      <c r="S133" s="14">
        <v>44.6</v>
      </c>
      <c r="T133" s="17">
        <f t="shared" si="87"/>
        <v>-7.3881329718165981E-2</v>
      </c>
      <c r="U133" s="17">
        <f t="shared" si="88"/>
        <v>0.3918893681816204</v>
      </c>
      <c r="V133" s="14">
        <v>102724.5019</v>
      </c>
      <c r="W133" s="16">
        <f t="shared" si="95"/>
        <v>0.80162935541720115</v>
      </c>
      <c r="X133" s="14">
        <f t="shared" si="89"/>
        <v>11.539805944871517</v>
      </c>
      <c r="Y133" s="14">
        <v>1.1000000000000001</v>
      </c>
      <c r="Z133" s="16">
        <f t="shared" si="96"/>
        <v>-1.2347714477723051</v>
      </c>
      <c r="AA133" s="14">
        <f t="shared" si="97"/>
        <v>9.5310179804324935E-2</v>
      </c>
      <c r="AB133" s="14">
        <v>7814</v>
      </c>
      <c r="AC133" s="17">
        <v>231</v>
      </c>
      <c r="AD133" s="14">
        <f t="shared" si="90"/>
        <v>5.4455445544554452E-3</v>
      </c>
      <c r="AE133" s="14">
        <f t="shared" si="91"/>
        <v>0.15900401923172722</v>
      </c>
      <c r="AF133" s="14">
        <f t="shared" si="98"/>
        <v>-1.7490442115489974E-2</v>
      </c>
      <c r="AG133" s="14">
        <f t="shared" si="99"/>
        <v>-1.7645207159310936E-2</v>
      </c>
      <c r="AH133" s="14">
        <f t="shared" si="100"/>
        <v>-0.17433556206008205</v>
      </c>
      <c r="AI133" s="14">
        <f t="shared" ref="AI133:AI141" si="101">LN(F133)-LN(F132)</f>
        <v>-5.3432857560591351E-2</v>
      </c>
      <c r="AJ133" s="14">
        <f t="shared" ref="AJ133:AJ141" si="102">K133-K132</f>
        <v>0.29918204340803445</v>
      </c>
      <c r="AK133" s="14">
        <f t="shared" ref="AK133:AK141" si="103">Y133-Y132</f>
        <v>0.10000000000000009</v>
      </c>
      <c r="AL133" s="14">
        <f t="shared" ref="AL133:AL141" si="104">LN(V133)-LN(V132)</f>
        <v>3.9920216238833461E-3</v>
      </c>
    </row>
    <row r="134" spans="1:38" ht="17.25" customHeight="1" x14ac:dyDescent="0.2">
      <c r="A134" s="19" t="s">
        <v>12</v>
      </c>
      <c r="B134" s="19">
        <v>2016</v>
      </c>
      <c r="C134" s="14">
        <v>0</v>
      </c>
      <c r="D134" s="14">
        <v>1</v>
      </c>
      <c r="E134" s="14">
        <v>0</v>
      </c>
      <c r="F134" s="14">
        <v>1301</v>
      </c>
      <c r="G134" s="16">
        <f t="shared" si="92"/>
        <v>0.13710914387002401</v>
      </c>
      <c r="H134" s="14">
        <f t="shared" si="85"/>
        <v>7.1708884785125049</v>
      </c>
      <c r="I134" s="17">
        <v>42556</v>
      </c>
      <c r="J134" s="15">
        <v>-161</v>
      </c>
      <c r="K134" s="14">
        <f t="shared" si="86"/>
        <v>-0.37832503054798383</v>
      </c>
      <c r="L134" s="16">
        <f t="shared" si="93"/>
        <v>-1.1270180449000187</v>
      </c>
      <c r="M134" s="14">
        <v>0.98347652295718835</v>
      </c>
      <c r="N134" s="16">
        <f t="shared" si="94"/>
        <v>-1.8033693953850858</v>
      </c>
      <c r="O134" s="14">
        <v>1.71</v>
      </c>
      <c r="P134" s="17">
        <v>-0.13000000000000012</v>
      </c>
      <c r="Q134" s="14">
        <v>11931</v>
      </c>
      <c r="R134" s="14">
        <f>[1]Feuil1!J168/panel_choc_taux_suisse_2014_202!Q134</f>
        <v>56624.179944402531</v>
      </c>
      <c r="S134" s="14">
        <v>43.6</v>
      </c>
      <c r="T134" s="17">
        <f t="shared" si="87"/>
        <v>8.0223901017821165E-3</v>
      </c>
      <c r="U134" s="17">
        <f t="shared" si="88"/>
        <v>0.29092698636709291</v>
      </c>
      <c r="V134" s="14">
        <v>103443.57339999999</v>
      </c>
      <c r="W134" s="16">
        <f t="shared" si="95"/>
        <v>0.84242668368835416</v>
      </c>
      <c r="X134" s="14">
        <f t="shared" si="89"/>
        <v>11.546781558479369</v>
      </c>
      <c r="Y134" s="14">
        <v>1.1000000000000001</v>
      </c>
      <c r="Z134" s="16">
        <f t="shared" si="96"/>
        <v>-1.2347714477723051</v>
      </c>
      <c r="AA134" s="14">
        <f t="shared" si="97"/>
        <v>9.5310179804324935E-2</v>
      </c>
      <c r="AB134" s="14">
        <v>8054</v>
      </c>
      <c r="AC134" s="17">
        <v>230</v>
      </c>
      <c r="AD134" s="14">
        <f t="shared" si="90"/>
        <v>5.4046432935426266E-3</v>
      </c>
      <c r="AE134" s="14">
        <f t="shared" si="91"/>
        <v>0.14947468823443752</v>
      </c>
      <c r="AF134" s="14">
        <f t="shared" si="98"/>
        <v>-1.9431709470476895E-2</v>
      </c>
      <c r="AG134" s="14">
        <f t="shared" si="99"/>
        <v>-1.9622987092333795E-2</v>
      </c>
      <c r="AH134" s="14">
        <f t="shared" si="100"/>
        <v>-0.19429884354201132</v>
      </c>
      <c r="AI134" s="14">
        <f t="shared" si="101"/>
        <v>-3.3506136589121382E-2</v>
      </c>
      <c r="AJ134" s="14">
        <f t="shared" si="102"/>
        <v>-0.4089709522830145</v>
      </c>
      <c r="AK134" s="14">
        <f t="shared" si="103"/>
        <v>0</v>
      </c>
      <c r="AL134" s="14">
        <f t="shared" si="104"/>
        <v>6.975613607851372E-3</v>
      </c>
    </row>
    <row r="135" spans="1:38" ht="17.25" customHeight="1" x14ac:dyDescent="0.2">
      <c r="A135" s="19" t="s">
        <v>12</v>
      </c>
      <c r="B135" s="19">
        <v>2017</v>
      </c>
      <c r="C135" s="14">
        <v>0</v>
      </c>
      <c r="D135" s="14">
        <v>1</v>
      </c>
      <c r="E135" s="14">
        <v>0</v>
      </c>
      <c r="F135" s="14">
        <v>1373</v>
      </c>
      <c r="G135" s="16">
        <f t="shared" si="92"/>
        <v>0.50208001131205959</v>
      </c>
      <c r="H135" s="14">
        <f t="shared" si="85"/>
        <v>7.224753405767971</v>
      </c>
      <c r="I135" s="17">
        <v>42969</v>
      </c>
      <c r="J135" s="15">
        <v>125</v>
      </c>
      <c r="K135" s="14">
        <f t="shared" si="86"/>
        <v>0.290907398356955</v>
      </c>
      <c r="L135" s="16">
        <f t="shared" si="93"/>
        <v>0.9435765024535715</v>
      </c>
      <c r="M135" s="14">
        <v>1.0635156673797794</v>
      </c>
      <c r="N135" s="16">
        <f t="shared" si="94"/>
        <v>1.5380319853253162</v>
      </c>
      <c r="O135" s="14">
        <v>1.56</v>
      </c>
      <c r="P135" s="17">
        <v>-0.14999999999999991</v>
      </c>
      <c r="Q135" s="14">
        <v>12011</v>
      </c>
      <c r="R135" s="14">
        <f>[1]Feuil1!J169/panel_choc_taux_suisse_2014_202!Q135</f>
        <v>57644.867976577014</v>
      </c>
      <c r="S135" s="14">
        <v>41.7</v>
      </c>
      <c r="T135" s="17">
        <f t="shared" si="87"/>
        <v>2.5186790442313298E-2</v>
      </c>
      <c r="U135" s="17">
        <f t="shared" si="88"/>
        <v>9.9098460919490899E-2</v>
      </c>
      <c r="V135" s="14">
        <v>103857.3477</v>
      </c>
      <c r="W135" s="16">
        <f t="shared" si="95"/>
        <v>0.86590263280783253</v>
      </c>
      <c r="X135" s="14">
        <f t="shared" si="89"/>
        <v>11.55077357981053</v>
      </c>
      <c r="Y135" s="14">
        <v>1.1000000000000001</v>
      </c>
      <c r="Z135" s="16">
        <f t="shared" si="96"/>
        <v>-1.2347714477723051</v>
      </c>
      <c r="AA135" s="14">
        <f t="shared" si="97"/>
        <v>9.5310179804324935E-2</v>
      </c>
      <c r="AB135" s="14">
        <v>8481</v>
      </c>
      <c r="AC135" s="17">
        <v>295</v>
      </c>
      <c r="AD135" s="14">
        <f t="shared" si="90"/>
        <v>6.8654146012241384E-3</v>
      </c>
      <c r="AE135" s="14">
        <f t="shared" si="91"/>
        <v>6.2142625680902099E-2</v>
      </c>
      <c r="AF135" s="14">
        <f t="shared" si="98"/>
        <v>-9.3213938521353092E-3</v>
      </c>
      <c r="AG135" s="14">
        <f t="shared" si="99"/>
        <v>-9.365109919005233E-3</v>
      </c>
      <c r="AH135" s="14">
        <f t="shared" si="100"/>
        <v>-9.0328065873698599E-2</v>
      </c>
      <c r="AI135" s="14">
        <f t="shared" si="101"/>
        <v>5.38649272554661E-2</v>
      </c>
      <c r="AJ135" s="14">
        <f t="shared" si="102"/>
        <v>0.66923242890493884</v>
      </c>
      <c r="AK135" s="14">
        <f t="shared" si="103"/>
        <v>0</v>
      </c>
      <c r="AL135" s="14">
        <f t="shared" si="104"/>
        <v>3.9920213311610553E-3</v>
      </c>
    </row>
    <row r="136" spans="1:38" ht="17.25" customHeight="1" x14ac:dyDescent="0.2">
      <c r="A136" s="19" t="s">
        <v>12</v>
      </c>
      <c r="B136" s="19">
        <v>2018</v>
      </c>
      <c r="C136" s="14">
        <v>0</v>
      </c>
      <c r="D136" s="14">
        <v>1</v>
      </c>
      <c r="E136" s="14">
        <v>0</v>
      </c>
      <c r="F136" s="14">
        <v>1376.83</v>
      </c>
      <c r="G136" s="16">
        <f t="shared" si="92"/>
        <v>0.52149443384404526</v>
      </c>
      <c r="H136" s="14">
        <f t="shared" si="85"/>
        <v>7.2275390343171146</v>
      </c>
      <c r="I136" s="17">
        <v>43223</v>
      </c>
      <c r="J136" s="15">
        <v>-25</v>
      </c>
      <c r="K136" s="14">
        <f t="shared" si="86"/>
        <v>-5.7839576151585956E-2</v>
      </c>
      <c r="L136" s="16">
        <f t="shared" si="93"/>
        <v>-0.13544111927918992</v>
      </c>
      <c r="M136" s="14">
        <v>1.0301138707197743</v>
      </c>
      <c r="N136" s="16">
        <f t="shared" si="94"/>
        <v>0.14360416774800241</v>
      </c>
      <c r="O136" s="14">
        <v>1.5</v>
      </c>
      <c r="P136" s="17">
        <v>-6.0000000000000053E-2</v>
      </c>
      <c r="Q136" s="14">
        <v>12113</v>
      </c>
      <c r="R136" s="14">
        <f>[1]Feuil1!J170/panel_choc_taux_suisse_2014_202!Q136</f>
        <v>58683.987469385509</v>
      </c>
      <c r="S136" s="14">
        <v>43.5</v>
      </c>
      <c r="T136" s="17">
        <f t="shared" si="87"/>
        <v>4.2661143441453532E-2</v>
      </c>
      <c r="U136" s="17">
        <f t="shared" si="88"/>
        <v>0.28083074818564002</v>
      </c>
      <c r="V136" s="14">
        <v>104376.6344</v>
      </c>
      <c r="W136" s="16">
        <f t="shared" si="95"/>
        <v>0.89536494631454777</v>
      </c>
      <c r="X136" s="14">
        <f t="shared" si="89"/>
        <v>11.555761120952713</v>
      </c>
      <c r="Y136" s="14">
        <v>1</v>
      </c>
      <c r="Z136" s="16">
        <f t="shared" si="96"/>
        <v>-1.3209105882125518</v>
      </c>
      <c r="AA136" s="14">
        <f t="shared" si="97"/>
        <v>0</v>
      </c>
      <c r="AB136" s="14">
        <v>8787</v>
      </c>
      <c r="AC136" s="17">
        <v>151</v>
      </c>
      <c r="AD136" s="14">
        <f t="shared" si="90"/>
        <v>3.4935103995557921E-3</v>
      </c>
      <c r="AE136" s="14">
        <f t="shared" si="91"/>
        <v>0.16174594581354679</v>
      </c>
      <c r="AF136" s="14">
        <f t="shared" si="98"/>
        <v>-9.7047567488128157E-3</v>
      </c>
      <c r="AG136" s="14">
        <f t="shared" si="99"/>
        <v>-9.7521548076387413E-3</v>
      </c>
      <c r="AH136" s="14">
        <f t="shared" si="100"/>
        <v>-9.4270429297490049E-2</v>
      </c>
      <c r="AI136" s="14">
        <f t="shared" si="101"/>
        <v>2.7856285491436594E-3</v>
      </c>
      <c r="AJ136" s="14">
        <f t="shared" si="102"/>
        <v>-0.34874697450854097</v>
      </c>
      <c r="AK136" s="14">
        <f t="shared" si="103"/>
        <v>-0.10000000000000009</v>
      </c>
      <c r="AL136" s="14">
        <f t="shared" si="104"/>
        <v>4.9875411421833604E-3</v>
      </c>
    </row>
    <row r="137" spans="1:38" ht="17.25" customHeight="1" x14ac:dyDescent="0.2">
      <c r="A137" s="19" t="s">
        <v>12</v>
      </c>
      <c r="B137" s="19">
        <v>2019</v>
      </c>
      <c r="C137" s="14">
        <v>0</v>
      </c>
      <c r="D137" s="14">
        <v>1</v>
      </c>
      <c r="E137" s="14">
        <v>0</v>
      </c>
      <c r="F137" s="14">
        <v>1380.17</v>
      </c>
      <c r="G137" s="16">
        <f t="shared" si="92"/>
        <v>0.53842502686149607</v>
      </c>
      <c r="H137" s="14">
        <f t="shared" si="85"/>
        <v>7.2299619589699793</v>
      </c>
      <c r="I137" s="17">
        <v>43087</v>
      </c>
      <c r="J137" s="15">
        <v>-334</v>
      </c>
      <c r="K137" s="14">
        <f t="shared" si="86"/>
        <v>-0.77517580708798484</v>
      </c>
      <c r="L137" s="16">
        <f t="shared" si="93"/>
        <v>-2.3548680690856889</v>
      </c>
      <c r="M137" s="14">
        <v>1.036888899675622</v>
      </c>
      <c r="N137" s="16">
        <f t="shared" si="94"/>
        <v>0.42644191258817377</v>
      </c>
      <c r="O137" s="14">
        <v>1.43</v>
      </c>
      <c r="P137" s="17">
        <v>-7.0000000000000062E-2</v>
      </c>
      <c r="Q137" s="14">
        <v>11869</v>
      </c>
      <c r="R137" s="14">
        <f>[1]Feuil1!J171/panel_choc_taux_suisse_2014_202!Q137</f>
        <v>61518.809776167596</v>
      </c>
      <c r="S137" s="14">
        <v>41.6</v>
      </c>
      <c r="T137" s="17">
        <f t="shared" si="87"/>
        <v>9.0332932895293164E-2</v>
      </c>
      <c r="U137" s="17">
        <f t="shared" si="88"/>
        <v>8.9002222738038012E-2</v>
      </c>
      <c r="V137" s="14">
        <v>105316</v>
      </c>
      <c r="W137" s="16">
        <f t="shared" si="95"/>
        <v>0.94866090749480503</v>
      </c>
      <c r="X137" s="14">
        <f t="shared" si="89"/>
        <v>11.564720633397931</v>
      </c>
      <c r="Y137" s="14">
        <v>0.8</v>
      </c>
      <c r="Z137" s="16">
        <f t="shared" si="96"/>
        <v>-1.493188869093045</v>
      </c>
      <c r="AA137" s="14">
        <f t="shared" si="97"/>
        <v>-0.22314355131420971</v>
      </c>
      <c r="AB137" s="14">
        <v>9008</v>
      </c>
      <c r="AC137" s="17">
        <v>112</v>
      </c>
      <c r="AD137" s="14">
        <f t="shared" si="90"/>
        <v>2.5993919279597094E-3</v>
      </c>
      <c r="AE137" s="14">
        <f t="shared" si="91"/>
        <v>8.9667577816665595E-2</v>
      </c>
      <c r="AF137" s="14">
        <f t="shared" si="98"/>
        <v>-6.2767304471665975E-3</v>
      </c>
      <c r="AG137" s="14">
        <f t="shared" si="99"/>
        <v>-6.2965119385547394E-3</v>
      </c>
      <c r="AH137" s="14">
        <f t="shared" si="100"/>
        <v>-5.9017864105262094E-2</v>
      </c>
      <c r="AI137" s="14">
        <f t="shared" si="101"/>
        <v>2.4229246528646442E-3</v>
      </c>
      <c r="AJ137" s="14">
        <f t="shared" si="102"/>
        <v>-0.71733623093639887</v>
      </c>
      <c r="AK137" s="14">
        <f t="shared" si="103"/>
        <v>-0.19999999999999996</v>
      </c>
      <c r="AL137" s="14">
        <f t="shared" si="104"/>
        <v>8.9595124452177544E-3</v>
      </c>
    </row>
    <row r="138" spans="1:38" ht="17.25" customHeight="1" x14ac:dyDescent="0.2">
      <c r="A138" s="19" t="s">
        <v>12</v>
      </c>
      <c r="B138" s="19">
        <v>2020</v>
      </c>
      <c r="C138" s="14">
        <v>0</v>
      </c>
      <c r="D138" s="14">
        <v>1</v>
      </c>
      <c r="E138" s="14">
        <v>0</v>
      </c>
      <c r="F138" s="14">
        <v>1407</v>
      </c>
      <c r="G138" s="16">
        <f t="shared" si="92"/>
        <v>0.67442736538190973</v>
      </c>
      <c r="H138" s="14">
        <f t="shared" si="85"/>
        <v>7.2492150571143892</v>
      </c>
      <c r="I138" s="17">
        <v>43520</v>
      </c>
      <c r="J138" s="15">
        <v>180</v>
      </c>
      <c r="K138" s="14">
        <f t="shared" si="86"/>
        <v>0.41360294117647062</v>
      </c>
      <c r="L138" s="16">
        <f t="shared" si="93"/>
        <v>1.3231945708164314</v>
      </c>
      <c r="M138" s="14">
        <v>1.0413346451454319</v>
      </c>
      <c r="N138" s="16">
        <f t="shared" si="94"/>
        <v>0.61203884966534006</v>
      </c>
      <c r="O138" s="14">
        <v>1.33</v>
      </c>
      <c r="P138" s="17">
        <v>-9.9999999999999867E-2</v>
      </c>
      <c r="Q138" s="14">
        <v>11059</v>
      </c>
      <c r="R138" s="14">
        <f>[1]Feuil1!J172/panel_choc_taux_suisse_2014_202!Q138</f>
        <v>67765.328440636586</v>
      </c>
      <c r="S138" s="14">
        <v>38.1</v>
      </c>
      <c r="T138" s="17">
        <f t="shared" si="87"/>
        <v>0.19537751430684186</v>
      </c>
      <c r="U138" s="17">
        <f t="shared" si="88"/>
        <v>-0.2643661136128081</v>
      </c>
      <c r="V138" s="14">
        <v>106158.5524</v>
      </c>
      <c r="W138" s="16">
        <f t="shared" si="95"/>
        <v>0.99646406315936453</v>
      </c>
      <c r="X138" s="14">
        <f t="shared" si="89"/>
        <v>11.572689032892017</v>
      </c>
      <c r="Y138" s="14">
        <v>1.5</v>
      </c>
      <c r="Z138" s="16">
        <f t="shared" si="96"/>
        <v>-0.89021488601131826</v>
      </c>
      <c r="AA138" s="14">
        <f t="shared" si="97"/>
        <v>0.40546510810816438</v>
      </c>
      <c r="AB138" s="14">
        <v>9269</v>
      </c>
      <c r="AC138" s="17">
        <v>368</v>
      </c>
      <c r="AD138" s="14">
        <f t="shared" si="90"/>
        <v>8.4558823529411759E-3</v>
      </c>
      <c r="AE138" s="14">
        <f t="shared" si="91"/>
        <v>-3.4494299652983118E-2</v>
      </c>
      <c r="AF138" s="14">
        <f t="shared" si="98"/>
        <v>3.4494299652983074E-3</v>
      </c>
      <c r="AG138" s="14">
        <f t="shared" si="99"/>
        <v>3.4434943275502405E-3</v>
      </c>
      <c r="AH138" s="14">
        <f t="shared" si="100"/>
        <v>4.1002402322049339E-2</v>
      </c>
      <c r="AI138" s="14">
        <f t="shared" si="101"/>
        <v>1.9253098144409897E-2</v>
      </c>
      <c r="AJ138" s="14">
        <f t="shared" si="102"/>
        <v>1.1887787482644554</v>
      </c>
      <c r="AK138" s="14">
        <f t="shared" si="103"/>
        <v>0.7</v>
      </c>
      <c r="AL138" s="14">
        <f t="shared" si="104"/>
        <v>7.9683994940857872E-3</v>
      </c>
    </row>
    <row r="139" spans="1:38" ht="17.25" customHeight="1" x14ac:dyDescent="0.2">
      <c r="A139" s="19" t="s">
        <v>12</v>
      </c>
      <c r="B139" s="19">
        <v>2021</v>
      </c>
      <c r="C139" s="14">
        <v>0</v>
      </c>
      <c r="D139" s="14">
        <v>1</v>
      </c>
      <c r="E139" s="14">
        <v>0</v>
      </c>
      <c r="F139" s="14">
        <v>1413.17</v>
      </c>
      <c r="G139" s="16">
        <f t="shared" si="92"/>
        <v>0.70570334110576238</v>
      </c>
      <c r="H139" s="14">
        <f t="shared" si="85"/>
        <v>7.2535906868418891</v>
      </c>
      <c r="I139" s="17">
        <v>43894</v>
      </c>
      <c r="J139" s="15">
        <v>110</v>
      </c>
      <c r="K139" s="14">
        <f t="shared" si="86"/>
        <v>0.25060372716088758</v>
      </c>
      <c r="L139" s="16">
        <f t="shared" si="93"/>
        <v>0.81887758140238731</v>
      </c>
      <c r="M139" s="14">
        <v>1.0457435779736526</v>
      </c>
      <c r="N139" s="16">
        <f t="shared" si="94"/>
        <v>0.79609896607405228</v>
      </c>
      <c r="O139" s="14">
        <v>1.25</v>
      </c>
      <c r="P139" s="17">
        <v>-8.0000000000000071E-2</v>
      </c>
      <c r="Q139" s="14">
        <v>12407</v>
      </c>
      <c r="R139" s="14">
        <f>[1]Feuil1!J173/panel_choc_taux_suisse_2014_202!Q139</f>
        <v>62315.611030063657</v>
      </c>
      <c r="S139" s="14">
        <v>41.6</v>
      </c>
      <c r="T139" s="17">
        <f t="shared" si="87"/>
        <v>0.10373234121849299</v>
      </c>
      <c r="U139" s="17">
        <f t="shared" si="88"/>
        <v>8.9002222738038012E-2</v>
      </c>
      <c r="V139" s="14">
        <v>105946.2352</v>
      </c>
      <c r="W139" s="16">
        <f t="shared" si="95"/>
        <v>0.98441800862095996</v>
      </c>
      <c r="X139" s="14">
        <f t="shared" si="89"/>
        <v>11.570687029322775</v>
      </c>
      <c r="Y139" s="14">
        <v>1.3</v>
      </c>
      <c r="Z139" s="16">
        <f t="shared" si="96"/>
        <v>-1.0624931668918116</v>
      </c>
      <c r="AA139" s="14">
        <f t="shared" si="97"/>
        <v>0.26236426446749106</v>
      </c>
      <c r="AB139" s="14">
        <v>9545</v>
      </c>
      <c r="AC139" s="17">
        <v>330</v>
      </c>
      <c r="AD139" s="14">
        <f t="shared" si="90"/>
        <v>7.5181118148266281E-3</v>
      </c>
      <c r="AE139" s="14">
        <f t="shared" si="91"/>
        <v>9.6367281978265495E-2</v>
      </c>
      <c r="AF139" s="14">
        <f t="shared" si="98"/>
        <v>-7.7093825582612461E-3</v>
      </c>
      <c r="AG139" s="14">
        <f t="shared" si="99"/>
        <v>-7.7392534712119035E-3</v>
      </c>
      <c r="AH139" s="14">
        <f t="shared" si="100"/>
        <v>-7.3750732963325877E-2</v>
      </c>
      <c r="AI139" s="14">
        <f t="shared" si="101"/>
        <v>4.3756297274999412E-3</v>
      </c>
      <c r="AJ139" s="14">
        <f t="shared" si="102"/>
        <v>-0.16299921401558304</v>
      </c>
      <c r="AK139" s="14">
        <f t="shared" si="103"/>
        <v>-0.19999999999999996</v>
      </c>
      <c r="AL139" s="14">
        <f t="shared" si="104"/>
        <v>-2.0020035692418503E-3</v>
      </c>
    </row>
    <row r="140" spans="1:38" ht="17.25" customHeight="1" x14ac:dyDescent="0.2">
      <c r="A140" s="19" t="s">
        <v>12</v>
      </c>
      <c r="B140" s="19">
        <v>2022</v>
      </c>
      <c r="C140" s="14">
        <v>0</v>
      </c>
      <c r="D140" s="14">
        <v>1</v>
      </c>
      <c r="E140" s="14">
        <v>0</v>
      </c>
      <c r="F140" s="14">
        <v>1398.5</v>
      </c>
      <c r="G140" s="16">
        <f t="shared" si="92"/>
        <v>0.63134052686444719</v>
      </c>
      <c r="H140" s="14">
        <f t="shared" si="85"/>
        <v>7.2431555126420148</v>
      </c>
      <c r="I140" s="17">
        <v>44420</v>
      </c>
      <c r="J140" s="15">
        <v>107</v>
      </c>
      <c r="K140" s="14">
        <f t="shared" si="86"/>
        <v>0.24088248536695184</v>
      </c>
      <c r="L140" s="16">
        <f t="shared" si="93"/>
        <v>0.78880021308811465</v>
      </c>
      <c r="M140" s="14">
        <v>0.98600652141555722</v>
      </c>
      <c r="N140" s="16">
        <f t="shared" si="94"/>
        <v>-1.6977493215702677</v>
      </c>
      <c r="O140" s="14">
        <v>1.21</v>
      </c>
      <c r="P140" s="17">
        <v>-4.0000000000000036E-2</v>
      </c>
      <c r="Q140" s="14">
        <v>12396</v>
      </c>
      <c r="R140" s="14">
        <f>[1]Feuil1!J174/panel_choc_taux_suisse_2014_202!Q140</f>
        <v>64224.951392922449</v>
      </c>
      <c r="S140" s="14">
        <v>41.3</v>
      </c>
      <c r="T140" s="17">
        <f t="shared" si="87"/>
        <v>0.13584076351930527</v>
      </c>
      <c r="U140" s="17">
        <f t="shared" si="88"/>
        <v>5.8713508193679341E-2</v>
      </c>
      <c r="V140" s="14">
        <v>106899.75139999999</v>
      </c>
      <c r="W140" s="16">
        <f t="shared" si="95"/>
        <v>1.0385168199676242</v>
      </c>
      <c r="X140" s="14">
        <f t="shared" si="89"/>
        <v>11.579646771472547</v>
      </c>
      <c r="Y140" s="14">
        <v>0.8</v>
      </c>
      <c r="Z140" s="16">
        <f t="shared" si="96"/>
        <v>-1.493188869093045</v>
      </c>
      <c r="AA140" s="14">
        <f t="shared" si="97"/>
        <v>-0.22314355131420971</v>
      </c>
      <c r="AB140" s="14">
        <v>9825</v>
      </c>
      <c r="AC140" s="17">
        <v>277</v>
      </c>
      <c r="AD140" s="14">
        <f t="shared" si="90"/>
        <v>6.2359297613687531E-3</v>
      </c>
      <c r="AE140" s="14">
        <f t="shared" si="91"/>
        <v>9.7277135856492308E-2</v>
      </c>
      <c r="AF140" s="14">
        <f t="shared" si="98"/>
        <v>-3.8910854342596958E-3</v>
      </c>
      <c r="AG140" s="14">
        <f t="shared" si="99"/>
        <v>-3.8986754023951566E-3</v>
      </c>
      <c r="AH140" s="14">
        <f t="shared" si="100"/>
        <v>-3.4484765773248938E-2</v>
      </c>
      <c r="AI140" s="14">
        <f t="shared" si="101"/>
        <v>-1.0435174199874275E-2</v>
      </c>
      <c r="AJ140" s="14">
        <f t="shared" si="102"/>
        <v>-9.7212417939357421E-3</v>
      </c>
      <c r="AK140" s="14">
        <f t="shared" si="103"/>
        <v>-0.5</v>
      </c>
      <c r="AL140" s="14">
        <f t="shared" si="104"/>
        <v>8.9597421497717988E-3</v>
      </c>
    </row>
    <row r="141" spans="1:38" ht="17.25" customHeight="1" x14ac:dyDescent="0.2">
      <c r="A141" s="19" t="s">
        <v>12</v>
      </c>
      <c r="B141" s="19">
        <v>2023</v>
      </c>
      <c r="C141" s="14">
        <v>0</v>
      </c>
      <c r="D141" s="14">
        <v>1</v>
      </c>
      <c r="E141" s="14">
        <v>0</v>
      </c>
      <c r="F141" s="14">
        <v>1567.43</v>
      </c>
      <c r="G141" s="16">
        <f t="shared" si="92"/>
        <v>1.4876534246003235</v>
      </c>
      <c r="H141" s="14">
        <f t="shared" si="85"/>
        <v>7.3571926144126296</v>
      </c>
      <c r="I141" s="17">
        <v>45016</v>
      </c>
      <c r="J141" s="15">
        <v>-29</v>
      </c>
      <c r="K141" s="14">
        <f t="shared" si="86"/>
        <v>-6.4421539008352582E-2</v>
      </c>
      <c r="L141" s="16">
        <f t="shared" si="93"/>
        <v>-0.1558056082272303</v>
      </c>
      <c r="M141" s="14">
        <v>1.0341430614279774</v>
      </c>
      <c r="N141" s="16">
        <f t="shared" si="94"/>
        <v>0.31181115562449047</v>
      </c>
      <c r="O141" s="14">
        <v>1.48</v>
      </c>
      <c r="P141" s="17">
        <v>0.27</v>
      </c>
      <c r="Q141" s="14">
        <v>12656</v>
      </c>
      <c r="R141" s="14">
        <f>[1]Feuil1!J175/panel_choc_taux_suisse_2014_202!Q141</f>
        <v>64245.286156105147</v>
      </c>
      <c r="S141" s="14">
        <v>41.5</v>
      </c>
      <c r="T141" s="17">
        <f t="shared" si="87"/>
        <v>0.13618272306531282</v>
      </c>
      <c r="U141" s="17">
        <f t="shared" si="88"/>
        <v>7.8905984556585124E-2</v>
      </c>
      <c r="V141" s="14">
        <v>125072.70909999999</v>
      </c>
      <c r="W141" s="16">
        <f t="shared" si="95"/>
        <v>2.0695799631247214</v>
      </c>
      <c r="X141" s="14">
        <f t="shared" si="89"/>
        <v>11.736650519978388</v>
      </c>
      <c r="Y141" s="14">
        <v>0.7</v>
      </c>
      <c r="Z141" s="16">
        <f t="shared" si="96"/>
        <v>-1.5793280095332918</v>
      </c>
      <c r="AA141" s="14">
        <f t="shared" si="97"/>
        <v>-0.35667494393873245</v>
      </c>
      <c r="AB141" s="14">
        <v>10113</v>
      </c>
      <c r="AC141" s="17">
        <v>238</v>
      </c>
      <c r="AD141" s="14">
        <f t="shared" si="90"/>
        <v>5.287009063444109E-3</v>
      </c>
      <c r="AE141" s="14">
        <f t="shared" si="91"/>
        <v>0.10754435381094897</v>
      </c>
      <c r="AF141" s="14">
        <f t="shared" si="98"/>
        <v>2.9036975528956222E-2</v>
      </c>
      <c r="AG141" s="14">
        <f t="shared" si="99"/>
        <v>2.8623389664976417E-2</v>
      </c>
      <c r="AH141" s="14">
        <f t="shared" si="100"/>
        <v>0.30413533617928945</v>
      </c>
      <c r="AI141" s="14">
        <f t="shared" si="101"/>
        <v>0.11403710177061477</v>
      </c>
      <c r="AJ141" s="14">
        <f t="shared" si="102"/>
        <v>-0.30530402437530441</v>
      </c>
      <c r="AK141" s="14">
        <f t="shared" si="103"/>
        <v>-0.10000000000000009</v>
      </c>
      <c r="AL141" s="14">
        <f t="shared" si="104"/>
        <v>0.15700374850584176</v>
      </c>
    </row>
    <row r="142" spans="1:38" ht="17.25" customHeight="1" x14ac:dyDescent="0.2">
      <c r="A142" s="19" t="s">
        <v>11</v>
      </c>
      <c r="B142" s="19">
        <v>2014</v>
      </c>
      <c r="C142" s="14">
        <v>0</v>
      </c>
      <c r="D142" s="14">
        <v>1</v>
      </c>
      <c r="E142" s="14">
        <v>0</v>
      </c>
      <c r="F142" s="14">
        <v>1203.83</v>
      </c>
      <c r="G142" s="16">
        <f t="shared" si="92"/>
        <v>-0.35544945598195687</v>
      </c>
      <c r="H142" s="14">
        <f t="shared" si="85"/>
        <v>7.093263419886382</v>
      </c>
      <c r="I142" s="17">
        <v>36834</v>
      </c>
      <c r="J142" s="15">
        <v>-51</v>
      </c>
      <c r="K142" s="14">
        <f t="shared" si="86"/>
        <v>-0.1384590324157029</v>
      </c>
      <c r="L142" s="16">
        <f t="shared" si="93"/>
        <v>-0.3848764415098217</v>
      </c>
      <c r="M142" s="14">
        <v>1.0281149308624065</v>
      </c>
      <c r="N142" s="16">
        <f t="shared" si="94"/>
        <v>6.0154245243822686E-2</v>
      </c>
      <c r="O142" s="14">
        <v>1.95</v>
      </c>
      <c r="P142" s="17">
        <v>0</v>
      </c>
      <c r="Q142" s="14">
        <v>9779</v>
      </c>
      <c r="R142" s="14">
        <f>[1]Feuil1!J176/panel_choc_taux_suisse_2014_202!Q142</f>
        <v>64915.874152094628</v>
      </c>
      <c r="S142" s="14">
        <v>49.1</v>
      </c>
      <c r="T142" s="17">
        <f t="shared" si="87"/>
        <v>0.14745966613105688</v>
      </c>
      <c r="U142" s="17">
        <f t="shared" si="88"/>
        <v>0.84622008634699397</v>
      </c>
      <c r="V142" s="14">
        <v>92397.184200000003</v>
      </c>
      <c r="W142" s="16">
        <f t="shared" si="95"/>
        <v>0.21569739960001871</v>
      </c>
      <c r="X142" s="14">
        <f t="shared" si="89"/>
        <v>11.43385178313946</v>
      </c>
      <c r="Y142" s="14">
        <v>0.9</v>
      </c>
      <c r="Z142" s="16">
        <f t="shared" si="96"/>
        <v>-1.4070497286527985</v>
      </c>
      <c r="AA142" s="14">
        <f t="shared" si="97"/>
        <v>-0.10536051565782628</v>
      </c>
      <c r="AB142" s="14">
        <v>6042</v>
      </c>
      <c r="AC142" s="17">
        <v>343</v>
      </c>
      <c r="AD142" s="14">
        <f t="shared" si="90"/>
        <v>9.3120486507031544E-3</v>
      </c>
      <c r="AE142" s="14">
        <f t="shared" si="91"/>
        <v>0.49683987623902542</v>
      </c>
      <c r="AF142" s="14">
        <f t="shared" si="98"/>
        <v>0</v>
      </c>
      <c r="AG142" s="14">
        <f t="shared" si="99"/>
        <v>0</v>
      </c>
      <c r="AH142" s="14">
        <f t="shared" si="100"/>
        <v>5.5297297030243815E-3</v>
      </c>
      <c r="AI142" s="14">
        <v>0</v>
      </c>
      <c r="AJ142" s="14">
        <v>0</v>
      </c>
      <c r="AK142" s="14">
        <v>0</v>
      </c>
      <c r="AL142" s="14">
        <v>0</v>
      </c>
    </row>
    <row r="143" spans="1:38" ht="17.25" customHeight="1" x14ac:dyDescent="0.2">
      <c r="A143" s="19" t="s">
        <v>11</v>
      </c>
      <c r="B143" s="19">
        <v>2015</v>
      </c>
      <c r="C143" s="14">
        <v>0</v>
      </c>
      <c r="D143" s="14">
        <v>1</v>
      </c>
      <c r="E143" s="14">
        <v>0</v>
      </c>
      <c r="F143" s="14">
        <v>1166</v>
      </c>
      <c r="G143" s="16">
        <f t="shared" si="92"/>
        <v>-0.54721123258379267</v>
      </c>
      <c r="H143" s="14">
        <f t="shared" si="85"/>
        <v>7.0613343669104376</v>
      </c>
      <c r="I143" s="17">
        <v>37076</v>
      </c>
      <c r="J143" s="15">
        <v>-65</v>
      </c>
      <c r="K143" s="14">
        <f t="shared" si="86"/>
        <v>-0.17531556802244039</v>
      </c>
      <c r="L143" s="16">
        <f t="shared" si="93"/>
        <v>-0.49890997958347388</v>
      </c>
      <c r="M143" s="14">
        <v>1.0174024043472965</v>
      </c>
      <c r="N143" s="16">
        <f t="shared" si="94"/>
        <v>-0.38706256531446542</v>
      </c>
      <c r="O143" s="14">
        <v>1.84</v>
      </c>
      <c r="P143" s="17">
        <v>-0.10999999999999988</v>
      </c>
      <c r="Q143" s="14">
        <v>9868</v>
      </c>
      <c r="R143" s="14">
        <f>[1]Feuil1!J177/panel_choc_taux_suisse_2014_202!Q143</f>
        <v>66485.831719531139</v>
      </c>
      <c r="S143" s="14">
        <v>50.4</v>
      </c>
      <c r="T143" s="17">
        <f t="shared" si="87"/>
        <v>0.17386085763686673</v>
      </c>
      <c r="U143" s="17">
        <f t="shared" si="88"/>
        <v>0.9774711827058794</v>
      </c>
      <c r="V143" s="14">
        <v>92766.772939999995</v>
      </c>
      <c r="W143" s="16">
        <f t="shared" si="95"/>
        <v>0.23666643140158744</v>
      </c>
      <c r="X143" s="14">
        <f t="shared" si="89"/>
        <v>11.437843804443492</v>
      </c>
      <c r="Y143" s="14">
        <v>0.9</v>
      </c>
      <c r="Z143" s="16">
        <f t="shared" si="96"/>
        <v>-1.4070497286527985</v>
      </c>
      <c r="AA143" s="14">
        <f t="shared" si="97"/>
        <v>-0.10536051565782628</v>
      </c>
      <c r="AB143" s="14">
        <v>6284</v>
      </c>
      <c r="AC143" s="17">
        <v>264</v>
      </c>
      <c r="AD143" s="14">
        <f t="shared" si="90"/>
        <v>7.1205092242960406E-3</v>
      </c>
      <c r="AE143" s="14">
        <f t="shared" si="91"/>
        <v>0.57566602017137303</v>
      </c>
      <c r="AF143" s="14">
        <f t="shared" si="98"/>
        <v>-6.3323262218850956E-2</v>
      </c>
      <c r="AG143" s="14">
        <f t="shared" si="99"/>
        <v>-6.5417053300739963E-2</v>
      </c>
      <c r="AH143" s="14">
        <f t="shared" si="100"/>
        <v>-0.64566347394380375</v>
      </c>
      <c r="AI143" s="14">
        <f t="shared" ref="AI143:AI151" si="105">LN(F143)-LN(F142)</f>
        <v>-3.1929052975944394E-2</v>
      </c>
      <c r="AJ143" s="14">
        <f t="shared" ref="AJ143:AJ151" si="106">K143-K142</f>
        <v>-3.6856535606737489E-2</v>
      </c>
      <c r="AK143" s="14">
        <f t="shared" ref="AK143:AK151" si="107">Y143-Y142</f>
        <v>0</v>
      </c>
      <c r="AL143" s="14">
        <f t="shared" ref="AL143:AL151" si="108">LN(V143)-LN(V142)</f>
        <v>3.9920213040325336E-3</v>
      </c>
    </row>
    <row r="144" spans="1:38" ht="17.25" customHeight="1" x14ac:dyDescent="0.2">
      <c r="A144" s="19" t="s">
        <v>11</v>
      </c>
      <c r="B144" s="19">
        <v>2016</v>
      </c>
      <c r="C144" s="14">
        <v>0</v>
      </c>
      <c r="D144" s="14">
        <v>1</v>
      </c>
      <c r="E144" s="14">
        <v>0</v>
      </c>
      <c r="F144" s="14">
        <v>1172.83</v>
      </c>
      <c r="G144" s="16">
        <f t="shared" si="92"/>
        <v>-0.51258969057505555</v>
      </c>
      <c r="H144" s="14">
        <f t="shared" si="85"/>
        <v>7.0671749106142334</v>
      </c>
      <c r="I144" s="17">
        <v>37378</v>
      </c>
      <c r="J144" s="15">
        <v>-28</v>
      </c>
      <c r="K144" s="14">
        <f t="shared" si="86"/>
        <v>-7.4910375086949546E-2</v>
      </c>
      <c r="L144" s="16">
        <f t="shared" si="93"/>
        <v>-0.18825790111442006</v>
      </c>
      <c r="M144" s="14">
        <v>0.98347652295718835</v>
      </c>
      <c r="N144" s="16">
        <f t="shared" si="94"/>
        <v>-1.8033693953850858</v>
      </c>
      <c r="O144" s="14">
        <v>1.71</v>
      </c>
      <c r="P144" s="17">
        <v>-0.13000000000000012</v>
      </c>
      <c r="Q144" s="14">
        <v>9718</v>
      </c>
      <c r="R144" s="14">
        <f>[1]Feuil1!J178/panel_choc_taux_suisse_2014_202!Q144</f>
        <v>69518.737488852305</v>
      </c>
      <c r="S144" s="14">
        <v>49.9</v>
      </c>
      <c r="T144" s="17">
        <f t="shared" si="87"/>
        <v>0.22486371764770702</v>
      </c>
      <c r="U144" s="17">
        <f t="shared" si="88"/>
        <v>0.92698999179861563</v>
      </c>
      <c r="V144" s="14">
        <v>93416.140350000001</v>
      </c>
      <c r="W144" s="16">
        <f t="shared" si="95"/>
        <v>0.27350901992631554</v>
      </c>
      <c r="X144" s="14">
        <f t="shared" si="89"/>
        <v>11.444819418173708</v>
      </c>
      <c r="Y144" s="14">
        <v>1</v>
      </c>
      <c r="Z144" s="16">
        <f t="shared" si="96"/>
        <v>-1.3209105882125518</v>
      </c>
      <c r="AA144" s="14">
        <f t="shared" si="97"/>
        <v>0</v>
      </c>
      <c r="AB144" s="14">
        <v>6486</v>
      </c>
      <c r="AC144" s="17">
        <v>269</v>
      </c>
      <c r="AD144" s="14">
        <f t="shared" si="90"/>
        <v>7.1967467494247952E-3</v>
      </c>
      <c r="AE144" s="14">
        <f t="shared" si="91"/>
        <v>0.5759268547231613</v>
      </c>
      <c r="AF144" s="14">
        <f t="shared" si="98"/>
        <v>-7.4870491114011034E-2</v>
      </c>
      <c r="AG144" s="14">
        <f t="shared" si="99"/>
        <v>-7.7821541663667462E-2</v>
      </c>
      <c r="AH144" s="14">
        <f t="shared" si="100"/>
        <v>-0.76441094073562066</v>
      </c>
      <c r="AI144" s="14">
        <f t="shared" si="105"/>
        <v>5.8405437037958308E-3</v>
      </c>
      <c r="AJ144" s="14">
        <f t="shared" si="106"/>
        <v>0.10040519293549084</v>
      </c>
      <c r="AK144" s="14">
        <f t="shared" si="107"/>
        <v>9.9999999999999978E-2</v>
      </c>
      <c r="AL144" s="14">
        <f t="shared" si="108"/>
        <v>6.9756137302157128E-3</v>
      </c>
    </row>
    <row r="145" spans="1:38" ht="17.25" customHeight="1" x14ac:dyDescent="0.2">
      <c r="A145" s="19" t="s">
        <v>11</v>
      </c>
      <c r="B145" s="19">
        <v>2017</v>
      </c>
      <c r="C145" s="14">
        <v>0</v>
      </c>
      <c r="D145" s="14">
        <v>1</v>
      </c>
      <c r="E145" s="14">
        <v>0</v>
      </c>
      <c r="F145" s="14">
        <v>1216</v>
      </c>
      <c r="G145" s="16">
        <f t="shared" si="92"/>
        <v>-0.29375924130460135</v>
      </c>
      <c r="H145" s="14">
        <f t="shared" si="85"/>
        <v>7.1033220625261126</v>
      </c>
      <c r="I145" s="17">
        <v>37575</v>
      </c>
      <c r="J145" s="15">
        <v>-44</v>
      </c>
      <c r="K145" s="14">
        <f t="shared" si="86"/>
        <v>-0.11709913506320693</v>
      </c>
      <c r="L145" s="16">
        <f t="shared" si="93"/>
        <v>-0.31878925702822081</v>
      </c>
      <c r="M145" s="14">
        <v>1.0635156673797794</v>
      </c>
      <c r="N145" s="16">
        <f t="shared" si="94"/>
        <v>1.5380319853253162</v>
      </c>
      <c r="O145" s="14">
        <v>1.56</v>
      </c>
      <c r="P145" s="17">
        <v>-0.14999999999999991</v>
      </c>
      <c r="Q145" s="14">
        <v>9932</v>
      </c>
      <c r="R145" s="14">
        <f>[1]Feuil1!J179/panel_choc_taux_suisse_2014_202!Q145</f>
        <v>69711.28768291045</v>
      </c>
      <c r="S145" s="14">
        <v>51.8</v>
      </c>
      <c r="T145" s="17">
        <f t="shared" si="87"/>
        <v>0.22810173799504072</v>
      </c>
      <c r="U145" s="17">
        <f t="shared" si="88"/>
        <v>1.1188185172462177</v>
      </c>
      <c r="V145" s="14">
        <v>93789.804910000006</v>
      </c>
      <c r="W145" s="16">
        <f t="shared" si="95"/>
        <v>0.29470929794820405</v>
      </c>
      <c r="X145" s="14">
        <f t="shared" si="89"/>
        <v>11.448811439428319</v>
      </c>
      <c r="Y145" s="14">
        <v>0.9</v>
      </c>
      <c r="Z145" s="16">
        <f t="shared" si="96"/>
        <v>-1.4070497286527985</v>
      </c>
      <c r="AA145" s="14">
        <f t="shared" si="97"/>
        <v>-0.10536051565782628</v>
      </c>
      <c r="AB145" s="14">
        <v>6874</v>
      </c>
      <c r="AC145" s="17">
        <v>191</v>
      </c>
      <c r="AD145" s="14">
        <f t="shared" si="90"/>
        <v>5.0831669993346637E-3</v>
      </c>
      <c r="AE145" s="14">
        <f t="shared" si="91"/>
        <v>0.67346012762062923</v>
      </c>
      <c r="AF145" s="14">
        <f t="shared" si="98"/>
        <v>-0.10101901914309433</v>
      </c>
      <c r="AG145" s="14">
        <f t="shared" si="99"/>
        <v>-0.10649340062206357</v>
      </c>
      <c r="AH145" s="14">
        <f t="shared" si="100"/>
        <v>-1.0333128125162974</v>
      </c>
      <c r="AI145" s="14">
        <f t="shared" si="105"/>
        <v>3.6147151911879227E-2</v>
      </c>
      <c r="AJ145" s="14">
        <f t="shared" si="106"/>
        <v>-4.2188759976257387E-2</v>
      </c>
      <c r="AK145" s="14">
        <f t="shared" si="107"/>
        <v>-9.9999999999999978E-2</v>
      </c>
      <c r="AL145" s="14">
        <f t="shared" si="108"/>
        <v>3.9920212546107336E-3</v>
      </c>
    </row>
    <row r="146" spans="1:38" ht="17.25" customHeight="1" x14ac:dyDescent="0.2">
      <c r="A146" s="19" t="s">
        <v>11</v>
      </c>
      <c r="B146" s="19">
        <v>2018</v>
      </c>
      <c r="C146" s="14">
        <v>0</v>
      </c>
      <c r="D146" s="14">
        <v>1</v>
      </c>
      <c r="E146" s="14">
        <v>0</v>
      </c>
      <c r="F146" s="14">
        <v>1206.83</v>
      </c>
      <c r="G146" s="16">
        <f t="shared" si="92"/>
        <v>-0.34024233650520541</v>
      </c>
      <c r="H146" s="14">
        <f t="shared" si="85"/>
        <v>7.0957523661075106</v>
      </c>
      <c r="I146" s="17">
        <v>37841</v>
      </c>
      <c r="J146" s="15">
        <v>14</v>
      </c>
      <c r="K146" s="14">
        <f t="shared" si="86"/>
        <v>3.6996908115536062E-2</v>
      </c>
      <c r="L146" s="16">
        <f t="shared" si="93"/>
        <v>0.15798146267040725</v>
      </c>
      <c r="M146" s="14">
        <v>1.0301138707197743</v>
      </c>
      <c r="N146" s="16">
        <f t="shared" si="94"/>
        <v>0.14360416774800241</v>
      </c>
      <c r="O146" s="14">
        <v>1.5</v>
      </c>
      <c r="P146" s="17">
        <v>-6.0000000000000053E-2</v>
      </c>
      <c r="Q146" s="14">
        <v>9847</v>
      </c>
      <c r="R146" s="14">
        <f>[1]Feuil1!J180/panel_choc_taux_suisse_2014_202!Q146</f>
        <v>72188.396487932027</v>
      </c>
      <c r="S146" s="14">
        <v>48.2</v>
      </c>
      <c r="T146" s="17">
        <f t="shared" si="87"/>
        <v>0.26975803832988859</v>
      </c>
      <c r="U146" s="17">
        <f t="shared" si="88"/>
        <v>0.75535394271391942</v>
      </c>
      <c r="V146" s="14">
        <v>94258.753930000006</v>
      </c>
      <c r="W146" s="16">
        <f t="shared" si="95"/>
        <v>0.32131564670681256</v>
      </c>
      <c r="X146" s="14">
        <f t="shared" si="89"/>
        <v>11.453798980891087</v>
      </c>
      <c r="Y146" s="14">
        <v>0.7</v>
      </c>
      <c r="Z146" s="16">
        <f t="shared" si="96"/>
        <v>-1.5793280095332918</v>
      </c>
      <c r="AA146" s="14">
        <f t="shared" si="97"/>
        <v>-0.35667494393873245</v>
      </c>
      <c r="AB146" s="14">
        <v>7102</v>
      </c>
      <c r="AC146" s="17">
        <v>205</v>
      </c>
      <c r="AD146" s="14">
        <f t="shared" si="90"/>
        <v>5.4174044026320655E-3</v>
      </c>
      <c r="AE146" s="14">
        <f t="shared" si="91"/>
        <v>0.51255599052190404</v>
      </c>
      <c r="AF146" s="14">
        <f t="shared" si="98"/>
        <v>-3.075335943131427E-2</v>
      </c>
      <c r="AG146" s="14">
        <f t="shared" si="99"/>
        <v>-3.1236168448262561E-2</v>
      </c>
      <c r="AH146" s="14">
        <f t="shared" si="100"/>
        <v>-0.31072653930862176</v>
      </c>
      <c r="AI146" s="14">
        <f t="shared" si="105"/>
        <v>-7.5696964186020566E-3</v>
      </c>
      <c r="AJ146" s="14">
        <f t="shared" si="106"/>
        <v>0.15409604317874298</v>
      </c>
      <c r="AK146" s="14">
        <f t="shared" si="107"/>
        <v>-0.20000000000000007</v>
      </c>
      <c r="AL146" s="14">
        <f t="shared" si="108"/>
        <v>4.9875414627678083E-3</v>
      </c>
    </row>
    <row r="147" spans="1:38" ht="17.25" customHeight="1" x14ac:dyDescent="0.2">
      <c r="A147" s="19" t="s">
        <v>11</v>
      </c>
      <c r="B147" s="19">
        <v>2019</v>
      </c>
      <c r="C147" s="14">
        <v>0</v>
      </c>
      <c r="D147" s="14">
        <v>1</v>
      </c>
      <c r="E147" s="14">
        <v>0</v>
      </c>
      <c r="F147" s="14">
        <v>1241.83</v>
      </c>
      <c r="G147" s="16">
        <f t="shared" si="92"/>
        <v>-0.16282594260977143</v>
      </c>
      <c r="H147" s="14">
        <f t="shared" si="85"/>
        <v>7.1243413771186077</v>
      </c>
      <c r="I147" s="17">
        <v>37930</v>
      </c>
      <c r="J147" s="15">
        <v>-74</v>
      </c>
      <c r="K147" s="14">
        <f t="shared" si="86"/>
        <v>-0.19509622989717901</v>
      </c>
      <c r="L147" s="16">
        <f t="shared" si="93"/>
        <v>-0.56011103448139288</v>
      </c>
      <c r="M147" s="14">
        <v>1.036888899675622</v>
      </c>
      <c r="N147" s="16">
        <f t="shared" si="94"/>
        <v>0.42644191258817377</v>
      </c>
      <c r="O147" s="14">
        <v>1.43</v>
      </c>
      <c r="P147" s="17">
        <v>-7.0000000000000062E-2</v>
      </c>
      <c r="Q147" s="14">
        <v>9416</v>
      </c>
      <c r="R147" s="14">
        <f>[1]Feuil1!J181/panel_choc_taux_suisse_2014_202!Q147</f>
        <v>77545.322136080416</v>
      </c>
      <c r="S147" s="14">
        <v>46.7</v>
      </c>
      <c r="T147" s="17">
        <f t="shared" si="87"/>
        <v>0.35984277874110976</v>
      </c>
      <c r="U147" s="17">
        <f t="shared" si="88"/>
        <v>0.60391036999212822</v>
      </c>
      <c r="V147" s="14">
        <v>95107</v>
      </c>
      <c r="W147" s="16">
        <f t="shared" si="95"/>
        <v>0.36944183912648948</v>
      </c>
      <c r="X147" s="14">
        <f t="shared" si="89"/>
        <v>11.462757852554397</v>
      </c>
      <c r="Y147" s="14">
        <v>0.7</v>
      </c>
      <c r="Z147" s="16">
        <f t="shared" si="96"/>
        <v>-1.5793280095332918</v>
      </c>
      <c r="AA147" s="14">
        <f t="shared" si="97"/>
        <v>-0.35667494393873245</v>
      </c>
      <c r="AB147" s="14">
        <v>7322</v>
      </c>
      <c r="AC147" s="17">
        <v>192</v>
      </c>
      <c r="AD147" s="14">
        <f t="shared" si="90"/>
        <v>5.0619562351700504E-3</v>
      </c>
      <c r="AE147" s="14">
        <f t="shared" si="91"/>
        <v>0.48187657436661901</v>
      </c>
      <c r="AF147" s="14">
        <f t="shared" si="98"/>
        <v>-3.3731360205663363E-2</v>
      </c>
      <c r="AG147" s="14">
        <f t="shared" si="99"/>
        <v>-3.4313388405679865E-2</v>
      </c>
      <c r="AH147" s="14">
        <f t="shared" si="100"/>
        <v>-0.34135120703355487</v>
      </c>
      <c r="AI147" s="14">
        <f t="shared" si="105"/>
        <v>2.8589011011097121E-2</v>
      </c>
      <c r="AJ147" s="14">
        <f t="shared" si="106"/>
        <v>-0.23209313801271508</v>
      </c>
      <c r="AK147" s="14">
        <f t="shared" si="107"/>
        <v>0</v>
      </c>
      <c r="AL147" s="14">
        <f t="shared" si="108"/>
        <v>8.9588716633102194E-3</v>
      </c>
    </row>
    <row r="148" spans="1:38" ht="17.25" customHeight="1" x14ac:dyDescent="0.2">
      <c r="A148" s="19" t="s">
        <v>11</v>
      </c>
      <c r="B148" s="19">
        <v>2020</v>
      </c>
      <c r="C148" s="14">
        <v>0</v>
      </c>
      <c r="D148" s="14">
        <v>1</v>
      </c>
      <c r="E148" s="14">
        <v>0</v>
      </c>
      <c r="F148" s="14">
        <v>1314.33</v>
      </c>
      <c r="G148" s="16">
        <f t="shared" si="92"/>
        <v>0.20467944474505609</v>
      </c>
      <c r="H148" s="14">
        <f t="shared" si="85"/>
        <v>7.1810823090663067</v>
      </c>
      <c r="I148" s="17">
        <v>38108</v>
      </c>
      <c r="J148" s="15">
        <v>11</v>
      </c>
      <c r="K148" s="14">
        <f t="shared" si="86"/>
        <v>2.8865330114411673E-2</v>
      </c>
      <c r="L148" s="16">
        <f t="shared" si="93"/>
        <v>0.132822488981611</v>
      </c>
      <c r="M148" s="14">
        <v>1.0413346451454319</v>
      </c>
      <c r="N148" s="16">
        <f t="shared" si="94"/>
        <v>0.61203884966534006</v>
      </c>
      <c r="O148" s="14">
        <v>1.33</v>
      </c>
      <c r="P148" s="17">
        <v>-9.9999999999999867E-2</v>
      </c>
      <c r="Q148" s="14">
        <v>9589</v>
      </c>
      <c r="R148" s="14">
        <f>[1]Feuil1!J182/panel_choc_taux_suisse_2014_202!Q148</f>
        <v>78153.797812597768</v>
      </c>
      <c r="S148" s="14">
        <v>46.4</v>
      </c>
      <c r="T148" s="17">
        <f t="shared" si="87"/>
        <v>0.37007520998356208</v>
      </c>
      <c r="U148" s="17">
        <f t="shared" si="88"/>
        <v>0.57362165544776955</v>
      </c>
      <c r="V148" s="14">
        <v>95867.939379999996</v>
      </c>
      <c r="W148" s="16">
        <f t="shared" si="95"/>
        <v>0.41261458854057126</v>
      </c>
      <c r="X148" s="14">
        <f t="shared" si="89"/>
        <v>11.470726891942059</v>
      </c>
      <c r="Y148" s="14">
        <v>1.2</v>
      </c>
      <c r="Z148" s="16">
        <f t="shared" si="96"/>
        <v>-1.1486323073320583</v>
      </c>
      <c r="AA148" s="14">
        <f t="shared" si="97"/>
        <v>0.18232155679395459</v>
      </c>
      <c r="AB148" s="14">
        <v>7485</v>
      </c>
      <c r="AC148" s="17">
        <v>287</v>
      </c>
      <c r="AD148" s="14">
        <f t="shared" si="90"/>
        <v>7.5312270389419544E-3</v>
      </c>
      <c r="AE148" s="14">
        <f t="shared" si="91"/>
        <v>0.47184843271566579</v>
      </c>
      <c r="AF148" s="14">
        <f t="shared" si="98"/>
        <v>-4.7184843271566516E-2</v>
      </c>
      <c r="AG148" s="14">
        <f t="shared" si="99"/>
        <v>-4.8334353502044305E-2</v>
      </c>
      <c r="AH148" s="14">
        <f t="shared" si="100"/>
        <v>-0.47970189256228907</v>
      </c>
      <c r="AI148" s="14">
        <f t="shared" si="105"/>
        <v>5.6740931947699025E-2</v>
      </c>
      <c r="AJ148" s="14">
        <f t="shared" si="106"/>
        <v>0.22396156001159068</v>
      </c>
      <c r="AK148" s="14">
        <f t="shared" si="107"/>
        <v>0.5</v>
      </c>
      <c r="AL148" s="14">
        <f t="shared" si="108"/>
        <v>7.9690393876621357E-3</v>
      </c>
    </row>
    <row r="149" spans="1:38" ht="17.25" customHeight="1" x14ac:dyDescent="0.2">
      <c r="A149" s="19" t="s">
        <v>11</v>
      </c>
      <c r="B149" s="19">
        <v>2021</v>
      </c>
      <c r="C149" s="14">
        <v>0</v>
      </c>
      <c r="D149" s="14">
        <v>1</v>
      </c>
      <c r="E149" s="14">
        <v>0</v>
      </c>
      <c r="F149" s="14">
        <v>1390</v>
      </c>
      <c r="G149" s="16">
        <f t="shared" si="92"/>
        <v>0.58825368834698466</v>
      </c>
      <c r="H149" s="14">
        <f t="shared" si="85"/>
        <v>7.2370590261247374</v>
      </c>
      <c r="I149" s="17">
        <v>38435</v>
      </c>
      <c r="J149" s="15">
        <v>85</v>
      </c>
      <c r="K149" s="14">
        <f t="shared" si="86"/>
        <v>0.22115259529075063</v>
      </c>
      <c r="L149" s="16">
        <f t="shared" si="93"/>
        <v>0.72775624533162853</v>
      </c>
      <c r="M149" s="14">
        <v>1.0457435779736526</v>
      </c>
      <c r="N149" s="16">
        <f t="shared" si="94"/>
        <v>0.79609896607405228</v>
      </c>
      <c r="O149" s="14">
        <v>1.25</v>
      </c>
      <c r="P149" s="17">
        <v>-8.0000000000000071E-2</v>
      </c>
      <c r="Q149" s="14">
        <v>9404</v>
      </c>
      <c r="R149" s="14">
        <f>[1]Feuil1!J183/panel_choc_taux_suisse_2014_202!Q149</f>
        <v>82214.992136324945</v>
      </c>
      <c r="S149" s="14">
        <v>47.2</v>
      </c>
      <c r="T149" s="17">
        <f t="shared" si="87"/>
        <v>0.43837028451739352</v>
      </c>
      <c r="U149" s="17">
        <f t="shared" si="88"/>
        <v>0.65439156089939188</v>
      </c>
      <c r="V149" s="14">
        <v>95676.203500000003</v>
      </c>
      <c r="W149" s="16">
        <f t="shared" si="95"/>
        <v>0.40173623828233102</v>
      </c>
      <c r="X149" s="14">
        <f t="shared" si="89"/>
        <v>11.468724889258425</v>
      </c>
      <c r="Y149" s="14">
        <v>1</v>
      </c>
      <c r="Z149" s="16">
        <f t="shared" si="96"/>
        <v>-1.3209105882125518</v>
      </c>
      <c r="AA149" s="14">
        <f t="shared" si="97"/>
        <v>0</v>
      </c>
      <c r="AB149" s="14">
        <v>7696</v>
      </c>
      <c r="AC149" s="17">
        <v>208</v>
      </c>
      <c r="AD149" s="14">
        <f t="shared" si="90"/>
        <v>5.4117340965266032E-3</v>
      </c>
      <c r="AE149" s="14">
        <f t="shared" si="91"/>
        <v>0.54638092270839267</v>
      </c>
      <c r="AF149" s="14">
        <f t="shared" si="98"/>
        <v>-4.3710473816671452E-2</v>
      </c>
      <c r="AG149" s="14">
        <f t="shared" si="99"/>
        <v>-4.4694560124840223E-2</v>
      </c>
      <c r="AH149" s="14">
        <f t="shared" si="100"/>
        <v>-0.4439727513792836</v>
      </c>
      <c r="AI149" s="14">
        <f t="shared" si="105"/>
        <v>5.5976717058430658E-2</v>
      </c>
      <c r="AJ149" s="14">
        <f t="shared" si="106"/>
        <v>0.19228726517633896</v>
      </c>
      <c r="AK149" s="14">
        <f t="shared" si="107"/>
        <v>-0.19999999999999996</v>
      </c>
      <c r="AL149" s="14">
        <f t="shared" si="108"/>
        <v>-2.0020026836338189E-3</v>
      </c>
    </row>
    <row r="150" spans="1:38" ht="17.25" customHeight="1" x14ac:dyDescent="0.2">
      <c r="A150" s="19" t="s">
        <v>11</v>
      </c>
      <c r="B150" s="19">
        <v>2022</v>
      </c>
      <c r="C150" s="14">
        <v>0</v>
      </c>
      <c r="D150" s="14">
        <v>1</v>
      </c>
      <c r="E150" s="14">
        <v>0</v>
      </c>
      <c r="F150" s="14">
        <v>1279</v>
      </c>
      <c r="G150" s="16">
        <f t="shared" si="92"/>
        <v>2.5590267707179815E-2</v>
      </c>
      <c r="H150" s="14">
        <f t="shared" si="85"/>
        <v>7.153833801578843</v>
      </c>
      <c r="I150" s="17">
        <v>38700</v>
      </c>
      <c r="J150" s="15">
        <v>-69</v>
      </c>
      <c r="K150" s="14">
        <f t="shared" si="86"/>
        <v>-0.17829457364341086</v>
      </c>
      <c r="L150" s="16">
        <f t="shared" si="93"/>
        <v>-0.50812697584501243</v>
      </c>
      <c r="M150" s="14">
        <v>0.98600652141555722</v>
      </c>
      <c r="N150" s="16">
        <f t="shared" si="94"/>
        <v>-1.6977493215702677</v>
      </c>
      <c r="O150" s="14">
        <v>1.21</v>
      </c>
      <c r="P150" s="17">
        <v>-4.0000000000000036E-2</v>
      </c>
      <c r="Q150" s="14">
        <v>9448</v>
      </c>
      <c r="R150" s="14">
        <f>[1]Feuil1!J184/panel_choc_taux_suisse_2014_202!Q150</f>
        <v>84264.658918995206</v>
      </c>
      <c r="S150" s="14">
        <v>49.1</v>
      </c>
      <c r="T150" s="17">
        <f t="shared" si="87"/>
        <v>0.47283850606349154</v>
      </c>
      <c r="U150" s="17">
        <f t="shared" si="88"/>
        <v>0.84622008634699397</v>
      </c>
      <c r="V150" s="14">
        <v>96537.28933</v>
      </c>
      <c r="W150" s="16">
        <f t="shared" si="95"/>
        <v>0.45059090889039799</v>
      </c>
      <c r="X150" s="14">
        <f t="shared" si="89"/>
        <v>11.477684630614359</v>
      </c>
      <c r="Y150" s="14">
        <v>0.6</v>
      </c>
      <c r="Z150" s="16">
        <f t="shared" si="96"/>
        <v>-1.6654671499735385</v>
      </c>
      <c r="AA150" s="14">
        <f t="shared" si="97"/>
        <v>-0.51082562376599072</v>
      </c>
      <c r="AB150" s="14">
        <v>7925</v>
      </c>
      <c r="AC150" s="17">
        <v>237</v>
      </c>
      <c r="AD150" s="14">
        <f t="shared" si="90"/>
        <v>6.1240310077519382E-3</v>
      </c>
      <c r="AE150" s="14">
        <f t="shared" si="91"/>
        <v>0.65952929620524281</v>
      </c>
      <c r="AF150" s="14">
        <f t="shared" si="98"/>
        <v>-2.6381171848209737E-2</v>
      </c>
      <c r="AG150" s="14">
        <f t="shared" si="99"/>
        <v>-2.6735398802516575E-2</v>
      </c>
      <c r="AH150" s="14">
        <f t="shared" si="100"/>
        <v>-0.26576456578699947</v>
      </c>
      <c r="AI150" s="14">
        <f t="shared" si="105"/>
        <v>-8.3225224545894427E-2</v>
      </c>
      <c r="AJ150" s="14">
        <f t="shared" si="106"/>
        <v>-0.39944716893416149</v>
      </c>
      <c r="AK150" s="14">
        <f t="shared" si="107"/>
        <v>-0.4</v>
      </c>
      <c r="AL150" s="14">
        <f t="shared" si="108"/>
        <v>8.9597413559339145E-3</v>
      </c>
    </row>
    <row r="151" spans="1:38" ht="17.25" customHeight="1" x14ac:dyDescent="0.2">
      <c r="A151" s="19" t="s">
        <v>11</v>
      </c>
      <c r="B151" s="19">
        <v>2023</v>
      </c>
      <c r="C151" s="14">
        <v>0</v>
      </c>
      <c r="D151" s="14">
        <v>1</v>
      </c>
      <c r="E151" s="14">
        <v>0</v>
      </c>
      <c r="F151" s="14">
        <v>1441</v>
      </c>
      <c r="G151" s="16">
        <f t="shared" si="92"/>
        <v>0.84677471945175986</v>
      </c>
      <c r="H151" s="14">
        <f t="shared" si="85"/>
        <v>7.2730925959995218</v>
      </c>
      <c r="I151" s="17">
        <v>39272</v>
      </c>
      <c r="J151" s="15">
        <v>-5</v>
      </c>
      <c r="K151" s="14">
        <f t="shared" si="86"/>
        <v>-1.2731717254023224E-2</v>
      </c>
      <c r="L151" s="16">
        <f t="shared" si="93"/>
        <v>4.1218825151471154E-3</v>
      </c>
      <c r="M151" s="14">
        <v>1.0341430614279774</v>
      </c>
      <c r="N151" s="16">
        <f t="shared" si="94"/>
        <v>0.31181115562449047</v>
      </c>
      <c r="O151" s="14">
        <v>1.48</v>
      </c>
      <c r="P151" s="17">
        <v>0.27</v>
      </c>
      <c r="Q151" s="14">
        <v>8979</v>
      </c>
      <c r="R151" s="14">
        <f>[1]Feuil1!J185/panel_choc_taux_suisse_2014_202!Q151</f>
        <v>90554.442765526968</v>
      </c>
      <c r="S151" s="14">
        <v>46.9</v>
      </c>
      <c r="T151" s="17">
        <f t="shared" si="87"/>
        <v>0.5786106564112109</v>
      </c>
      <c r="U151" s="17">
        <f t="shared" si="88"/>
        <v>0.62410284635503321</v>
      </c>
      <c r="V151" s="14">
        <v>112948.62850000001</v>
      </c>
      <c r="W151" s="16">
        <f t="shared" si="95"/>
        <v>1.3817066484068881</v>
      </c>
      <c r="X151" s="14">
        <f t="shared" si="89"/>
        <v>11.634688379281481</v>
      </c>
      <c r="Y151" s="14">
        <v>0.6</v>
      </c>
      <c r="Z151" s="16">
        <f t="shared" si="96"/>
        <v>-1.6654671499735385</v>
      </c>
      <c r="AA151" s="14">
        <f t="shared" si="97"/>
        <v>-0.51082562376599072</v>
      </c>
      <c r="AB151" s="14">
        <v>8204</v>
      </c>
      <c r="AC151" s="17">
        <v>180</v>
      </c>
      <c r="AD151" s="14">
        <f t="shared" si="90"/>
        <v>4.5834182114483603E-3</v>
      </c>
      <c r="AE151" s="14">
        <f t="shared" si="91"/>
        <v>0.60135675138312206</v>
      </c>
      <c r="AF151" s="14">
        <f t="shared" si="98"/>
        <v>0.16236632287344296</v>
      </c>
      <c r="AG151" s="14">
        <f t="shared" si="99"/>
        <v>0.15045786079078532</v>
      </c>
      <c r="AH151" s="14">
        <f t="shared" si="100"/>
        <v>1.6752454431938062</v>
      </c>
      <c r="AI151" s="14">
        <f t="shared" si="105"/>
        <v>0.11925879442067888</v>
      </c>
      <c r="AJ151" s="14">
        <f t="shared" si="106"/>
        <v>0.16556285638938764</v>
      </c>
      <c r="AK151" s="14">
        <f t="shared" si="107"/>
        <v>0</v>
      </c>
      <c r="AL151" s="14">
        <f t="shared" si="108"/>
        <v>0.15700374866712252</v>
      </c>
    </row>
    <row r="152" spans="1:38" ht="17.25" customHeight="1" x14ac:dyDescent="0.2">
      <c r="A152" s="19" t="s">
        <v>10</v>
      </c>
      <c r="B152" s="19">
        <v>2014</v>
      </c>
      <c r="C152" s="14">
        <v>0</v>
      </c>
      <c r="D152" s="14">
        <v>0</v>
      </c>
      <c r="E152" s="14">
        <v>1</v>
      </c>
      <c r="F152" s="14">
        <v>1157.5</v>
      </c>
      <c r="G152" s="16">
        <f t="shared" si="92"/>
        <v>-0.59029807110125521</v>
      </c>
      <c r="H152" s="14">
        <f t="shared" si="85"/>
        <v>7.0540177859603892</v>
      </c>
      <c r="I152" s="17">
        <v>495824</v>
      </c>
      <c r="J152" s="15">
        <v>-1050</v>
      </c>
      <c r="K152" s="14">
        <f t="shared" si="86"/>
        <v>-0.21176869211655749</v>
      </c>
      <c r="L152" s="16">
        <f t="shared" si="93"/>
        <v>-0.61169536881930275</v>
      </c>
      <c r="M152" s="14">
        <v>1.0281149308624065</v>
      </c>
      <c r="N152" s="16">
        <f t="shared" si="94"/>
        <v>6.0154245243822686E-2</v>
      </c>
      <c r="O152" s="14">
        <v>1.95</v>
      </c>
      <c r="P152" s="17">
        <v>0</v>
      </c>
      <c r="Q152" s="14">
        <v>3155</v>
      </c>
      <c r="R152" s="14">
        <f>[1]Feuil1!J186/panel_choc_taux_suisse_2014_202!Q152</f>
        <v>201208.34653988379</v>
      </c>
      <c r="S152" s="14">
        <v>57</v>
      </c>
      <c r="T152" s="17">
        <f t="shared" si="87"/>
        <v>2.4394220343788473</v>
      </c>
      <c r="U152" s="17">
        <f t="shared" si="88"/>
        <v>1.6438229026817608</v>
      </c>
      <c r="V152" s="14">
        <v>74714.712220000001</v>
      </c>
      <c r="W152" s="16">
        <f t="shared" si="95"/>
        <v>-0.78753748596217588</v>
      </c>
      <c r="X152" s="14">
        <f t="shared" si="89"/>
        <v>11.221432302464937</v>
      </c>
      <c r="Y152" s="14">
        <v>2.2000000000000002</v>
      </c>
      <c r="Z152" s="16">
        <f t="shared" si="96"/>
        <v>-0.28724090292959131</v>
      </c>
      <c r="AA152" s="14">
        <f t="shared" si="97"/>
        <v>0.78845736036427028</v>
      </c>
      <c r="AB152" s="14">
        <v>83379</v>
      </c>
      <c r="AC152" s="17">
        <v>2893</v>
      </c>
      <c r="AD152" s="14">
        <f t="shared" si="90"/>
        <v>5.8347316789828648E-3</v>
      </c>
      <c r="AE152" s="14">
        <f t="shared" si="91"/>
        <v>2.0416224685303042</v>
      </c>
      <c r="AF152" s="14">
        <f t="shared" si="98"/>
        <v>0</v>
      </c>
      <c r="AG152" s="14">
        <f t="shared" si="99"/>
        <v>0</v>
      </c>
      <c r="AH152" s="14">
        <f t="shared" si="100"/>
        <v>5.5297297030243815E-3</v>
      </c>
      <c r="AI152" s="14">
        <v>0</v>
      </c>
      <c r="AJ152" s="14">
        <v>0</v>
      </c>
      <c r="AK152" s="14">
        <v>0</v>
      </c>
      <c r="AL152" s="14">
        <v>0</v>
      </c>
    </row>
    <row r="153" spans="1:38" ht="17.25" customHeight="1" x14ac:dyDescent="0.2">
      <c r="A153" s="19" t="s">
        <v>10</v>
      </c>
      <c r="B153" s="19">
        <v>2015</v>
      </c>
      <c r="C153" s="14">
        <v>0</v>
      </c>
      <c r="D153" s="14">
        <v>0</v>
      </c>
      <c r="E153" s="14">
        <v>1</v>
      </c>
      <c r="F153" s="14">
        <v>1112.5</v>
      </c>
      <c r="G153" s="16">
        <f t="shared" si="92"/>
        <v>-0.81840486325252748</v>
      </c>
      <c r="H153" s="14">
        <f t="shared" si="85"/>
        <v>7.0143650140403953</v>
      </c>
      <c r="I153" s="17">
        <v>499065</v>
      </c>
      <c r="J153" s="15">
        <v>-1666</v>
      </c>
      <c r="K153" s="14">
        <f t="shared" si="86"/>
        <v>-0.33382425135002453</v>
      </c>
      <c r="L153" s="16">
        <f t="shared" si="93"/>
        <v>-0.98933333809187152</v>
      </c>
      <c r="M153" s="14">
        <v>1.0174024043472965</v>
      </c>
      <c r="N153" s="16">
        <f t="shared" si="94"/>
        <v>-0.38706256531446542</v>
      </c>
      <c r="O153" s="14">
        <v>1.84</v>
      </c>
      <c r="P153" s="17">
        <v>-0.10999999999999988</v>
      </c>
      <c r="Q153" s="14">
        <v>2986</v>
      </c>
      <c r="R153" s="14">
        <f>[1]Feuil1!J187/panel_choc_taux_suisse_2014_202!Q153</f>
        <v>219719.41976166554</v>
      </c>
      <c r="S153" s="14">
        <v>53.3</v>
      </c>
      <c r="T153" s="17">
        <f t="shared" si="87"/>
        <v>2.7507134980738321</v>
      </c>
      <c r="U153" s="17">
        <f t="shared" si="88"/>
        <v>1.2702620899680088</v>
      </c>
      <c r="V153" s="14">
        <v>75013.571070000005</v>
      </c>
      <c r="W153" s="16">
        <f t="shared" si="95"/>
        <v>-0.77058139382086643</v>
      </c>
      <c r="X153" s="14">
        <f t="shared" si="89"/>
        <v>11.225424323749404</v>
      </c>
      <c r="Y153" s="14">
        <v>2.4</v>
      </c>
      <c r="Z153" s="16">
        <f t="shared" si="96"/>
        <v>-0.11496262204909814</v>
      </c>
      <c r="AA153" s="14">
        <f t="shared" si="97"/>
        <v>0.87546873735389985</v>
      </c>
      <c r="AB153" s="14">
        <v>85293</v>
      </c>
      <c r="AC153" s="17">
        <v>2413</v>
      </c>
      <c r="AD153" s="14">
        <f t="shared" si="90"/>
        <v>4.8350415276567178E-3</v>
      </c>
      <c r="AE153" s="14">
        <f t="shared" si="91"/>
        <v>2.0104877940209205</v>
      </c>
      <c r="AF153" s="14">
        <f t="shared" si="98"/>
        <v>-0.221153657342301</v>
      </c>
      <c r="AG153" s="14">
        <f t="shared" si="99"/>
        <v>-0.2499415020442633</v>
      </c>
      <c r="AH153" s="14">
        <f t="shared" si="100"/>
        <v>-2.2687333700915064</v>
      </c>
      <c r="AI153" s="14">
        <f t="shared" ref="AI153:AI161" si="109">LN(F153)-LN(F152)</f>
        <v>-3.9652771919993945E-2</v>
      </c>
      <c r="AJ153" s="14">
        <f t="shared" ref="AJ153:AJ161" si="110">K153-K152</f>
        <v>-0.12205555923346703</v>
      </c>
      <c r="AK153" s="14">
        <f t="shared" ref="AK153:AK161" si="111">Y153-Y152</f>
        <v>0.19999999999999973</v>
      </c>
      <c r="AL153" s="14">
        <f t="shared" ref="AL153:AL161" si="112">LN(V153)-LN(V152)</f>
        <v>3.9920212844677394E-3</v>
      </c>
    </row>
    <row r="154" spans="1:38" ht="17.25" customHeight="1" x14ac:dyDescent="0.2">
      <c r="A154" s="19" t="s">
        <v>10</v>
      </c>
      <c r="B154" s="19">
        <v>2016</v>
      </c>
      <c r="C154" s="14">
        <v>0</v>
      </c>
      <c r="D154" s="14">
        <v>0</v>
      </c>
      <c r="E154" s="14">
        <v>1</v>
      </c>
      <c r="F154" s="14">
        <v>1133.17</v>
      </c>
      <c r="G154" s="16">
        <f t="shared" si="92"/>
        <v>-0.71362781005770937</v>
      </c>
      <c r="H154" s="14">
        <f t="shared" si="85"/>
        <v>7.0327742939031381</v>
      </c>
      <c r="I154" s="17">
        <v>502552</v>
      </c>
      <c r="J154" s="15">
        <v>-1948</v>
      </c>
      <c r="K154" s="14">
        <f t="shared" si="86"/>
        <v>-0.38762157945844411</v>
      </c>
      <c r="L154" s="16">
        <f t="shared" si="93"/>
        <v>-1.1557814201517269</v>
      </c>
      <c r="M154" s="14">
        <v>0.98347652295718835</v>
      </c>
      <c r="N154" s="16">
        <f t="shared" si="94"/>
        <v>-1.8033693953850858</v>
      </c>
      <c r="O154" s="14">
        <v>1.71</v>
      </c>
      <c r="P154" s="17">
        <v>-0.13000000000000012</v>
      </c>
      <c r="Q154" s="14">
        <v>3117</v>
      </c>
      <c r="R154" s="14">
        <f>[1]Feuil1!J188/panel_choc_taux_suisse_2014_202!Q154</f>
        <v>216741.4471981606</v>
      </c>
      <c r="S154" s="14">
        <v>54.5</v>
      </c>
      <c r="T154" s="17">
        <f t="shared" si="87"/>
        <v>2.7006344223211554</v>
      </c>
      <c r="U154" s="17">
        <f t="shared" si="88"/>
        <v>1.3914169481454421</v>
      </c>
      <c r="V154" s="14">
        <v>75538.666060000003</v>
      </c>
      <c r="W154" s="16">
        <f t="shared" si="95"/>
        <v>-0.74078954046474255</v>
      </c>
      <c r="X154" s="14">
        <f t="shared" si="89"/>
        <v>11.232399937386676</v>
      </c>
      <c r="Y154" s="14">
        <v>2.5</v>
      </c>
      <c r="Z154" s="16">
        <f t="shared" si="96"/>
        <v>-2.882348160885137E-2</v>
      </c>
      <c r="AA154" s="14">
        <f t="shared" si="97"/>
        <v>0.91629073187415511</v>
      </c>
      <c r="AB154" s="14">
        <v>87144</v>
      </c>
      <c r="AC154" s="17">
        <v>2824</v>
      </c>
      <c r="AD154" s="14">
        <f t="shared" si="90"/>
        <v>5.6193189958452057E-3</v>
      </c>
      <c r="AE154" s="14">
        <f t="shared" si="91"/>
        <v>2.0460256852332988</v>
      </c>
      <c r="AF154" s="14">
        <f t="shared" si="98"/>
        <v>-0.26598333908032906</v>
      </c>
      <c r="AG154" s="14">
        <f t="shared" si="99"/>
        <v>-0.30922355182459366</v>
      </c>
      <c r="AH154" s="14">
        <f t="shared" si="100"/>
        <v>-2.7297453749462357</v>
      </c>
      <c r="AI154" s="14">
        <f t="shared" si="109"/>
        <v>1.8409279862742878E-2</v>
      </c>
      <c r="AJ154" s="14">
        <f t="shared" si="110"/>
        <v>-5.3797328108419584E-2</v>
      </c>
      <c r="AK154" s="14">
        <f t="shared" si="111"/>
        <v>0.10000000000000009</v>
      </c>
      <c r="AL154" s="14">
        <f t="shared" si="112"/>
        <v>6.9756136372713939E-3</v>
      </c>
    </row>
    <row r="155" spans="1:38" ht="17.25" customHeight="1" x14ac:dyDescent="0.2">
      <c r="A155" s="19" t="s">
        <v>10</v>
      </c>
      <c r="B155" s="19">
        <v>2017</v>
      </c>
      <c r="C155" s="14">
        <v>0</v>
      </c>
      <c r="D155" s="14">
        <v>0</v>
      </c>
      <c r="E155" s="14">
        <v>1</v>
      </c>
      <c r="F155" s="14">
        <v>1128.33</v>
      </c>
      <c r="G155" s="16">
        <f t="shared" si="92"/>
        <v>-0.73816196281353585</v>
      </c>
      <c r="H155" s="14">
        <f t="shared" si="85"/>
        <v>7.028493942464153</v>
      </c>
      <c r="I155" s="17">
        <v>504686</v>
      </c>
      <c r="J155" s="15">
        <v>-1885</v>
      </c>
      <c r="K155" s="14">
        <f t="shared" si="86"/>
        <v>-0.37349956210396162</v>
      </c>
      <c r="L155" s="16">
        <f t="shared" si="93"/>
        <v>-1.1120881218761622</v>
      </c>
      <c r="M155" s="14">
        <v>1.0635156673797794</v>
      </c>
      <c r="N155" s="16">
        <f t="shared" si="94"/>
        <v>1.5380319853253162</v>
      </c>
      <c r="O155" s="14">
        <v>1.56</v>
      </c>
      <c r="P155" s="17">
        <v>-0.14999999999999991</v>
      </c>
      <c r="Q155" s="14">
        <v>3061</v>
      </c>
      <c r="R155" s="14">
        <f>[1]Feuil1!J189/panel_choc_taux_suisse_2014_202!Q155</f>
        <v>226191.6070782968</v>
      </c>
      <c r="S155" s="14">
        <v>55.1</v>
      </c>
      <c r="T155" s="17">
        <f t="shared" si="87"/>
        <v>2.8595530363849626</v>
      </c>
      <c r="U155" s="17">
        <f t="shared" si="88"/>
        <v>1.4519943772341586</v>
      </c>
      <c r="V155" s="14">
        <v>75840.820730000007</v>
      </c>
      <c r="W155" s="16">
        <f t="shared" si="95"/>
        <v>-0.72364645627818769</v>
      </c>
      <c r="X155" s="14">
        <f t="shared" si="89"/>
        <v>11.236391958732161</v>
      </c>
      <c r="Y155" s="14">
        <v>2.2999999999999998</v>
      </c>
      <c r="Z155" s="16">
        <f t="shared" si="96"/>
        <v>-0.20110176248934492</v>
      </c>
      <c r="AA155" s="14">
        <f t="shared" si="97"/>
        <v>0.83290912293510388</v>
      </c>
      <c r="AB155" s="14">
        <v>90725</v>
      </c>
      <c r="AC155" s="17">
        <v>2787</v>
      </c>
      <c r="AD155" s="14">
        <f t="shared" si="90"/>
        <v>5.5222455150331093E-3</v>
      </c>
      <c r="AE155" s="14">
        <f t="shared" si="91"/>
        <v>2.1557737068095606</v>
      </c>
      <c r="AF155" s="14">
        <f t="shared" si="98"/>
        <v>-0.32336605602143392</v>
      </c>
      <c r="AG155" s="14">
        <f t="shared" si="99"/>
        <v>-0.39062485543609654</v>
      </c>
      <c r="AH155" s="14">
        <f t="shared" si="100"/>
        <v>-3.3198481897647873</v>
      </c>
      <c r="AI155" s="14">
        <f t="shared" si="109"/>
        <v>-4.2803514389850861E-3</v>
      </c>
      <c r="AJ155" s="14">
        <f t="shared" si="110"/>
        <v>1.4122017354482486E-2</v>
      </c>
      <c r="AK155" s="14">
        <f t="shared" si="111"/>
        <v>-0.20000000000000018</v>
      </c>
      <c r="AL155" s="14">
        <f t="shared" si="112"/>
        <v>3.9920213454855968E-3</v>
      </c>
    </row>
    <row r="156" spans="1:38" ht="17.25" customHeight="1" x14ac:dyDescent="0.2">
      <c r="A156" s="19" t="s">
        <v>10</v>
      </c>
      <c r="B156" s="19">
        <v>2018</v>
      </c>
      <c r="C156" s="14">
        <v>0</v>
      </c>
      <c r="D156" s="14">
        <v>0</v>
      </c>
      <c r="E156" s="14">
        <v>1</v>
      </c>
      <c r="F156" s="14">
        <v>1170.5</v>
      </c>
      <c r="G156" s="16">
        <f t="shared" si="92"/>
        <v>-0.52440055336866553</v>
      </c>
      <c r="H156" s="14">
        <f t="shared" si="85"/>
        <v>7.0651862869309658</v>
      </c>
      <c r="I156" s="17">
        <v>507697</v>
      </c>
      <c r="J156" s="15">
        <v>-924</v>
      </c>
      <c r="K156" s="14">
        <f t="shared" si="86"/>
        <v>-0.1819983178943346</v>
      </c>
      <c r="L156" s="16">
        <f t="shared" si="93"/>
        <v>-0.519586301961805</v>
      </c>
      <c r="M156" s="14">
        <v>1.0301138707197743</v>
      </c>
      <c r="N156" s="16">
        <f t="shared" si="94"/>
        <v>0.14360416774800241</v>
      </c>
      <c r="O156" s="14">
        <v>1.5</v>
      </c>
      <c r="P156" s="17">
        <v>-6.0000000000000053E-2</v>
      </c>
      <c r="Q156" s="14">
        <v>3002</v>
      </c>
      <c r="R156" s="14">
        <f>[1]Feuil1!J190/panel_choc_taux_suisse_2014_202!Q156</f>
        <v>236788.52105818345</v>
      </c>
      <c r="S156" s="14">
        <v>55.3</v>
      </c>
      <c r="T156" s="17">
        <f t="shared" si="87"/>
        <v>3.0377560408205553</v>
      </c>
      <c r="U156" s="17">
        <f t="shared" si="88"/>
        <v>1.4721868535970637</v>
      </c>
      <c r="V156" s="14">
        <v>76220.024829999995</v>
      </c>
      <c r="W156" s="16">
        <f t="shared" si="95"/>
        <v>-0.70213188623964928</v>
      </c>
      <c r="X156" s="14">
        <f t="shared" si="89"/>
        <v>11.241379500195313</v>
      </c>
      <c r="Y156" s="14">
        <v>2</v>
      </c>
      <c r="Z156" s="16">
        <f t="shared" si="96"/>
        <v>-0.45951918381008483</v>
      </c>
      <c r="AA156" s="14">
        <f t="shared" si="97"/>
        <v>0.69314718055994529</v>
      </c>
      <c r="AB156" s="14">
        <v>92650</v>
      </c>
      <c r="AC156" s="17">
        <v>2692</v>
      </c>
      <c r="AD156" s="14">
        <f t="shared" si="90"/>
        <v>5.3023752356228223E-3</v>
      </c>
      <c r="AE156" s="14">
        <f t="shared" si="91"/>
        <v>2.2549714472088094</v>
      </c>
      <c r="AF156" s="14">
        <f t="shared" si="98"/>
        <v>-0.13529828683252867</v>
      </c>
      <c r="AG156" s="14">
        <f t="shared" si="99"/>
        <v>-0.14537067179015489</v>
      </c>
      <c r="AH156" s="14">
        <f t="shared" si="100"/>
        <v>-1.385828228860478</v>
      </c>
      <c r="AI156" s="14">
        <f t="shared" si="109"/>
        <v>3.6692344466812798E-2</v>
      </c>
      <c r="AJ156" s="14">
        <f t="shared" si="110"/>
        <v>0.19150124420962703</v>
      </c>
      <c r="AK156" s="14">
        <f t="shared" si="111"/>
        <v>-0.29999999999999982</v>
      </c>
      <c r="AL156" s="14">
        <f t="shared" si="112"/>
        <v>4.9875414631515014E-3</v>
      </c>
    </row>
    <row r="157" spans="1:38" ht="17.25" customHeight="1" x14ac:dyDescent="0.2">
      <c r="A157" s="19" t="s">
        <v>10</v>
      </c>
      <c r="B157" s="19">
        <v>2019</v>
      </c>
      <c r="C157" s="14">
        <v>0</v>
      </c>
      <c r="D157" s="14">
        <v>0</v>
      </c>
      <c r="E157" s="14">
        <v>1</v>
      </c>
      <c r="F157" s="14">
        <v>1180.67</v>
      </c>
      <c r="G157" s="16">
        <f t="shared" si="92"/>
        <v>-0.47284841834247759</v>
      </c>
      <c r="H157" s="14">
        <f t="shared" si="85"/>
        <v>7.073837352934377</v>
      </c>
      <c r="I157" s="17">
        <v>510734</v>
      </c>
      <c r="J157" s="15">
        <v>-1468</v>
      </c>
      <c r="K157" s="14">
        <f t="shared" si="86"/>
        <v>-0.28742946426123972</v>
      </c>
      <c r="L157" s="16">
        <f t="shared" si="93"/>
        <v>-0.8457886008339075</v>
      </c>
      <c r="M157" s="14">
        <v>1.036888899675622</v>
      </c>
      <c r="N157" s="16">
        <f t="shared" si="94"/>
        <v>0.42644191258817377</v>
      </c>
      <c r="O157" s="14">
        <v>1.43</v>
      </c>
      <c r="P157" s="17">
        <v>-7.0000000000000062E-2</v>
      </c>
      <c r="Q157" s="14">
        <v>3127</v>
      </c>
      <c r="R157" s="14">
        <f>[1]Feuil1!J191/panel_choc_taux_suisse_2014_202!Q157</f>
        <v>233503.91852680949</v>
      </c>
      <c r="S157" s="14">
        <v>56.9</v>
      </c>
      <c r="T157" s="17">
        <f t="shared" si="87"/>
        <v>2.9825205221989486</v>
      </c>
      <c r="U157" s="17">
        <f t="shared" si="88"/>
        <v>1.6337266645003079</v>
      </c>
      <c r="V157" s="14">
        <v>76906</v>
      </c>
      <c r="W157" s="16">
        <f t="shared" si="95"/>
        <v>-0.66321231538146541</v>
      </c>
      <c r="X157" s="14">
        <f t="shared" si="89"/>
        <v>11.250339175857089</v>
      </c>
      <c r="Y157" s="14">
        <v>1.8</v>
      </c>
      <c r="Z157" s="16">
        <f t="shared" si="96"/>
        <v>-0.63179746469057818</v>
      </c>
      <c r="AA157" s="14">
        <f t="shared" si="97"/>
        <v>0.58778666490211906</v>
      </c>
      <c r="AB157" s="14">
        <v>94644</v>
      </c>
      <c r="AC157" s="17">
        <v>2984</v>
      </c>
      <c r="AD157" s="14">
        <f t="shared" si="90"/>
        <v>5.8425716713592594E-3</v>
      </c>
      <c r="AE157" s="14">
        <f t="shared" si="91"/>
        <v>2.3081235933496282</v>
      </c>
      <c r="AF157" s="14">
        <f t="shared" si="98"/>
        <v>-0.16156865153447411</v>
      </c>
      <c r="AG157" s="14">
        <f t="shared" si="99"/>
        <v>-0.17622257529194799</v>
      </c>
      <c r="AH157" s="14">
        <f t="shared" si="100"/>
        <v>-1.6559830242989499</v>
      </c>
      <c r="AI157" s="14">
        <f t="shared" si="109"/>
        <v>8.6510660034111453E-3</v>
      </c>
      <c r="AJ157" s="14">
        <f t="shared" si="110"/>
        <v>-0.10543114636690512</v>
      </c>
      <c r="AK157" s="14">
        <f t="shared" si="111"/>
        <v>-0.19999999999999996</v>
      </c>
      <c r="AL157" s="14">
        <f t="shared" si="112"/>
        <v>8.9596756617762452E-3</v>
      </c>
    </row>
    <row r="158" spans="1:38" ht="17.25" customHeight="1" x14ac:dyDescent="0.2">
      <c r="A158" s="19" t="s">
        <v>10</v>
      </c>
      <c r="B158" s="19">
        <v>2020</v>
      </c>
      <c r="C158" s="14">
        <v>0</v>
      </c>
      <c r="D158" s="14">
        <v>0</v>
      </c>
      <c r="E158" s="14">
        <v>1</v>
      </c>
      <c r="F158" s="14">
        <v>1193.67</v>
      </c>
      <c r="G158" s="16">
        <f t="shared" si="92"/>
        <v>-0.40695090060988781</v>
      </c>
      <c r="H158" s="14">
        <f t="shared" si="85"/>
        <v>7.0847878738424805</v>
      </c>
      <c r="I158" s="17">
        <v>514504</v>
      </c>
      <c r="J158" s="15">
        <v>-423</v>
      </c>
      <c r="K158" s="14">
        <f t="shared" si="86"/>
        <v>-8.2215104255749225E-2</v>
      </c>
      <c r="L158" s="16">
        <f t="shared" si="93"/>
        <v>-0.21085861759727265</v>
      </c>
      <c r="M158" s="14">
        <v>1.0413346451454319</v>
      </c>
      <c r="N158" s="16">
        <f t="shared" si="94"/>
        <v>0.61203884966534006</v>
      </c>
      <c r="O158" s="14">
        <v>1.33</v>
      </c>
      <c r="P158" s="17">
        <v>-9.9999999999999867E-2</v>
      </c>
      <c r="Q158" s="14">
        <v>3353</v>
      </c>
      <c r="R158" s="14">
        <f>[1]Feuil1!J192/panel_choc_taux_suisse_2014_202!Q158</f>
        <v>223506.34274530271</v>
      </c>
      <c r="S158" s="14">
        <v>58</v>
      </c>
      <c r="T158" s="17">
        <f t="shared" si="87"/>
        <v>2.8143962886042839</v>
      </c>
      <c r="U158" s="17">
        <f t="shared" si="88"/>
        <v>1.7447852844962881</v>
      </c>
      <c r="V158" s="14">
        <v>77521.253100000002</v>
      </c>
      <c r="W158" s="16">
        <f t="shared" si="95"/>
        <v>-0.62830524050706837</v>
      </c>
      <c r="X158" s="14">
        <f t="shared" si="89"/>
        <v>11.258307411294679</v>
      </c>
      <c r="Y158" s="14">
        <v>2.6</v>
      </c>
      <c r="Z158" s="16">
        <f t="shared" si="96"/>
        <v>5.7315658831395402E-2</v>
      </c>
      <c r="AA158" s="14">
        <f t="shared" si="97"/>
        <v>0.95551144502743635</v>
      </c>
      <c r="AB158" s="14">
        <v>95988</v>
      </c>
      <c r="AC158" s="17">
        <v>3250</v>
      </c>
      <c r="AD158" s="14">
        <f t="shared" si="90"/>
        <v>6.3167633293424348E-3</v>
      </c>
      <c r="AE158" s="14">
        <f t="shared" si="91"/>
        <v>2.279590786550286</v>
      </c>
      <c r="AF158" s="14">
        <f t="shared" si="98"/>
        <v>-0.22795907865502829</v>
      </c>
      <c r="AG158" s="14">
        <f t="shared" si="99"/>
        <v>-0.25871772343863975</v>
      </c>
      <c r="AH158" s="14">
        <f t="shared" si="100"/>
        <v>-2.33871782685378</v>
      </c>
      <c r="AI158" s="14">
        <f t="shared" si="109"/>
        <v>1.0950520908103556E-2</v>
      </c>
      <c r="AJ158" s="14">
        <f t="shared" si="110"/>
        <v>0.20521436000549048</v>
      </c>
      <c r="AK158" s="14">
        <f t="shared" si="111"/>
        <v>0.8</v>
      </c>
      <c r="AL158" s="14">
        <f t="shared" si="112"/>
        <v>7.9682354375893993E-3</v>
      </c>
    </row>
    <row r="159" spans="1:38" ht="17.25" customHeight="1" x14ac:dyDescent="0.2">
      <c r="A159" s="19" t="s">
        <v>10</v>
      </c>
      <c r="B159" s="19">
        <v>2021</v>
      </c>
      <c r="C159" s="14">
        <v>0</v>
      </c>
      <c r="D159" s="14">
        <v>0</v>
      </c>
      <c r="E159" s="14">
        <v>1</v>
      </c>
      <c r="F159" s="14">
        <v>1206.67</v>
      </c>
      <c r="G159" s="16">
        <f t="shared" si="92"/>
        <v>-0.34105338287729808</v>
      </c>
      <c r="H159" s="14">
        <f t="shared" si="85"/>
        <v>7.0956197785788309</v>
      </c>
      <c r="I159" s="17">
        <v>519245</v>
      </c>
      <c r="J159" s="15">
        <v>332</v>
      </c>
      <c r="K159" s="14">
        <f t="shared" si="86"/>
        <v>6.3938988338838113E-2</v>
      </c>
      <c r="L159" s="16">
        <f t="shared" si="93"/>
        <v>0.2413398326406353</v>
      </c>
      <c r="M159" s="14">
        <v>1.0457435779736526</v>
      </c>
      <c r="N159" s="16">
        <f t="shared" si="94"/>
        <v>0.79609896607405228</v>
      </c>
      <c r="O159" s="14">
        <v>1.25</v>
      </c>
      <c r="P159" s="17">
        <v>-8.0000000000000071E-2</v>
      </c>
      <c r="Q159" s="14">
        <v>3251</v>
      </c>
      <c r="R159" s="14">
        <f>[1]Feuil1!J193/panel_choc_taux_suisse_2014_202!Q159</f>
        <v>237819.06676407254</v>
      </c>
      <c r="S159" s="14">
        <v>56</v>
      </c>
      <c r="T159" s="17">
        <f t="shared" si="87"/>
        <v>3.0550862127315672</v>
      </c>
      <c r="U159" s="17">
        <f t="shared" si="88"/>
        <v>1.5428605208672332</v>
      </c>
      <c r="V159" s="14">
        <v>77366.210590000002</v>
      </c>
      <c r="W159" s="16">
        <f t="shared" si="95"/>
        <v>-0.63710175125245816</v>
      </c>
      <c r="X159" s="14">
        <f t="shared" si="89"/>
        <v>11.256305408574889</v>
      </c>
      <c r="Y159" s="14">
        <v>2.4</v>
      </c>
      <c r="Z159" s="16">
        <f t="shared" si="96"/>
        <v>-0.11496262204909814</v>
      </c>
      <c r="AA159" s="14">
        <f t="shared" si="97"/>
        <v>0.87546873735389985</v>
      </c>
      <c r="AB159" s="14">
        <v>98074</v>
      </c>
      <c r="AC159" s="17">
        <v>2959</v>
      </c>
      <c r="AD159" s="14">
        <f t="shared" si="90"/>
        <v>5.6986586293560843E-3</v>
      </c>
      <c r="AE159" s="14">
        <f t="shared" si="91"/>
        <v>2.2989733667994003</v>
      </c>
      <c r="AF159" s="14">
        <f t="shared" si="98"/>
        <v>-0.18391786934395218</v>
      </c>
      <c r="AG159" s="14">
        <f t="shared" si="99"/>
        <v>-0.20324027876914891</v>
      </c>
      <c r="AH159" s="14">
        <f t="shared" si="100"/>
        <v>-1.8858141832505528</v>
      </c>
      <c r="AI159" s="14">
        <f t="shared" si="109"/>
        <v>1.0831904736350317E-2</v>
      </c>
      <c r="AJ159" s="14">
        <f t="shared" si="110"/>
        <v>0.14615409259458734</v>
      </c>
      <c r="AK159" s="14">
        <f t="shared" si="111"/>
        <v>-0.20000000000000018</v>
      </c>
      <c r="AL159" s="14">
        <f t="shared" si="112"/>
        <v>-2.0020027197897861E-3</v>
      </c>
    </row>
    <row r="160" spans="1:38" ht="17.25" customHeight="1" x14ac:dyDescent="0.2">
      <c r="A160" s="19" t="s">
        <v>10</v>
      </c>
      <c r="B160" s="19">
        <v>2022</v>
      </c>
      <c r="C160" s="14">
        <v>0</v>
      </c>
      <c r="D160" s="14">
        <v>0</v>
      </c>
      <c r="E160" s="14">
        <v>1</v>
      </c>
      <c r="F160" s="14">
        <v>1227.83</v>
      </c>
      <c r="G160" s="16">
        <f t="shared" si="92"/>
        <v>-0.23379250016794501</v>
      </c>
      <c r="H160" s="14">
        <f t="shared" si="85"/>
        <v>7.1130036626417885</v>
      </c>
      <c r="I160" s="17">
        <v>525967</v>
      </c>
      <c r="J160" s="15">
        <v>477</v>
      </c>
      <c r="K160" s="14">
        <f t="shared" si="86"/>
        <v>9.0690100329488363E-2</v>
      </c>
      <c r="L160" s="16">
        <f t="shared" si="93"/>
        <v>0.32410734992027634</v>
      </c>
      <c r="M160" s="14">
        <v>0.98600652141555722</v>
      </c>
      <c r="N160" s="16">
        <f t="shared" si="94"/>
        <v>-1.6977493215702677</v>
      </c>
      <c r="O160" s="14">
        <v>1.21</v>
      </c>
      <c r="P160" s="17">
        <v>-4.0000000000000036E-2</v>
      </c>
      <c r="Q160" s="14">
        <v>3116</v>
      </c>
      <c r="R160" s="14">
        <f>[1]Feuil1!J194/panel_choc_taux_suisse_2014_202!Q160</f>
        <v>255498.23410355157</v>
      </c>
      <c r="S160" s="14">
        <v>52.8</v>
      </c>
      <c r="T160" s="17">
        <f t="shared" si="87"/>
        <v>3.3523879311181184</v>
      </c>
      <c r="U160" s="17">
        <f t="shared" si="88"/>
        <v>1.219780899060745</v>
      </c>
      <c r="V160" s="14">
        <v>78062.50649</v>
      </c>
      <c r="W160" s="16">
        <f t="shared" si="95"/>
        <v>-0.59759662219900767</v>
      </c>
      <c r="X160" s="14">
        <f t="shared" si="89"/>
        <v>11.26526515000644</v>
      </c>
      <c r="Y160" s="14">
        <v>1.7</v>
      </c>
      <c r="Z160" s="16">
        <f t="shared" si="96"/>
        <v>-0.71793660513082491</v>
      </c>
      <c r="AA160" s="14">
        <f t="shared" si="97"/>
        <v>0.53062825106217038</v>
      </c>
      <c r="AB160" s="14">
        <v>100325</v>
      </c>
      <c r="AC160" s="17">
        <v>3120</v>
      </c>
      <c r="AD160" s="14">
        <f t="shared" si="90"/>
        <v>5.931931090733829E-3</v>
      </c>
      <c r="AE160" s="14">
        <f t="shared" si="91"/>
        <v>2.2860844150894319</v>
      </c>
      <c r="AF160" s="14">
        <f t="shared" si="98"/>
        <v>-9.1443376603577362E-2</v>
      </c>
      <c r="AG160" s="14">
        <f t="shared" si="99"/>
        <v>-9.5898066839984905E-2</v>
      </c>
      <c r="AH160" s="14">
        <f t="shared" si="100"/>
        <v>-0.93484041668908735</v>
      </c>
      <c r="AI160" s="14">
        <f t="shared" si="109"/>
        <v>1.7383884062957655E-2</v>
      </c>
      <c r="AJ160" s="14">
        <f t="shared" si="110"/>
        <v>2.675111199065025E-2</v>
      </c>
      <c r="AK160" s="14">
        <f t="shared" si="111"/>
        <v>-0.7</v>
      </c>
      <c r="AL160" s="14">
        <f t="shared" si="112"/>
        <v>8.9597414315516488E-3</v>
      </c>
    </row>
    <row r="161" spans="1:38" ht="17.25" customHeight="1" x14ac:dyDescent="0.2">
      <c r="A161" s="19" t="s">
        <v>10</v>
      </c>
      <c r="B161" s="19">
        <v>2023</v>
      </c>
      <c r="C161" s="14">
        <v>0</v>
      </c>
      <c r="D161" s="14">
        <v>0</v>
      </c>
      <c r="E161" s="14">
        <v>1</v>
      </c>
      <c r="F161" s="14">
        <v>1367.71</v>
      </c>
      <c r="G161" s="16">
        <f t="shared" si="92"/>
        <v>0.47526479063472138</v>
      </c>
      <c r="H161" s="14">
        <f t="shared" si="85"/>
        <v>7.220893087405706</v>
      </c>
      <c r="I161" s="17">
        <v>535114</v>
      </c>
      <c r="J161" s="15">
        <v>314</v>
      </c>
      <c r="K161" s="14">
        <f t="shared" si="86"/>
        <v>5.8679085204274228E-2</v>
      </c>
      <c r="L161" s="16">
        <f t="shared" si="93"/>
        <v>0.22506577555727317</v>
      </c>
      <c r="M161" s="14">
        <v>1.0341430614279774</v>
      </c>
      <c r="N161" s="16">
        <f t="shared" si="94"/>
        <v>0.31181115562449047</v>
      </c>
      <c r="O161" s="14">
        <v>1.48</v>
      </c>
      <c r="P161" s="17">
        <v>0.27</v>
      </c>
      <c r="Q161" s="14">
        <v>2726</v>
      </c>
      <c r="R161" s="14">
        <f>[1]Feuil1!J195/panel_choc_taux_suisse_2014_202!Q161</f>
        <v>298271.58532342874</v>
      </c>
      <c r="S161" s="14">
        <v>49.4</v>
      </c>
      <c r="T161" s="17">
        <f t="shared" si="87"/>
        <v>4.0716859938964367</v>
      </c>
      <c r="U161" s="17">
        <f t="shared" si="88"/>
        <v>0.87650880089135186</v>
      </c>
      <c r="V161" s="14">
        <v>91333.132589999994</v>
      </c>
      <c r="W161" s="16">
        <f t="shared" si="95"/>
        <v>0.15532723775850518</v>
      </c>
      <c r="X161" s="14">
        <f t="shared" si="89"/>
        <v>11.422268898779974</v>
      </c>
      <c r="Y161" s="14">
        <v>1.5</v>
      </c>
      <c r="Z161" s="16">
        <f t="shared" si="96"/>
        <v>-0.89021488601131826</v>
      </c>
      <c r="AA161" s="14">
        <f t="shared" si="97"/>
        <v>0.40546510810816438</v>
      </c>
      <c r="AB161" s="14">
        <v>102980</v>
      </c>
      <c r="AC161" s="17">
        <v>2450</v>
      </c>
      <c r="AD161" s="14">
        <f t="shared" si="90"/>
        <v>4.578463654473626E-3</v>
      </c>
      <c r="AE161" s="14">
        <f t="shared" si="91"/>
        <v>2.4740973973938942</v>
      </c>
      <c r="AF161" s="14">
        <f t="shared" si="98"/>
        <v>0.66800629729635153</v>
      </c>
      <c r="AG161" s="14">
        <f t="shared" si="99"/>
        <v>0.51162907928695334</v>
      </c>
      <c r="AH161" s="14">
        <f t="shared" si="100"/>
        <v>6.8750614870730589</v>
      </c>
      <c r="AI161" s="14">
        <f t="shared" si="109"/>
        <v>0.1078894247639175</v>
      </c>
      <c r="AJ161" s="14">
        <f t="shared" si="110"/>
        <v>-3.2011015125214135E-2</v>
      </c>
      <c r="AK161" s="14">
        <f t="shared" si="111"/>
        <v>-0.19999999999999996</v>
      </c>
      <c r="AL161" s="14">
        <f t="shared" si="112"/>
        <v>0.1570037487735334</v>
      </c>
    </row>
    <row r="162" spans="1:38" ht="17.25" customHeight="1" x14ac:dyDescent="0.2">
      <c r="A162" s="19" t="s">
        <v>9</v>
      </c>
      <c r="B162" s="19">
        <v>2014</v>
      </c>
      <c r="C162" s="14">
        <v>1</v>
      </c>
      <c r="D162" s="14">
        <v>0</v>
      </c>
      <c r="E162" s="14">
        <v>0</v>
      </c>
      <c r="F162" s="14">
        <v>1159.5</v>
      </c>
      <c r="G162" s="16">
        <f t="shared" si="92"/>
        <v>-0.58015999145008756</v>
      </c>
      <c r="H162" s="14">
        <f t="shared" si="85"/>
        <v>7.0557441566955861</v>
      </c>
      <c r="I162" s="17">
        <v>79417</v>
      </c>
      <c r="J162" s="15">
        <v>94</v>
      </c>
      <c r="K162" s="14">
        <f t="shared" si="86"/>
        <v>0.11836256720853218</v>
      </c>
      <c r="L162" s="16">
        <f t="shared" si="93"/>
        <v>0.40972552464819273</v>
      </c>
      <c r="M162" s="14">
        <v>1.0281149308624065</v>
      </c>
      <c r="N162" s="16">
        <f t="shared" si="94"/>
        <v>6.0154245243822686E-2</v>
      </c>
      <c r="O162" s="14">
        <v>1.95</v>
      </c>
      <c r="P162" s="17">
        <v>0</v>
      </c>
      <c r="Q162" s="14">
        <v>65401</v>
      </c>
      <c r="R162" s="14">
        <f>[1]Feuil1!J196/panel_choc_taux_suisse_2014_202!Q162</f>
        <v>9706.4621845741403</v>
      </c>
      <c r="S162" s="14">
        <v>41.2</v>
      </c>
      <c r="T162" s="17">
        <f t="shared" si="87"/>
        <v>-0.7809694127883674</v>
      </c>
      <c r="U162" s="17">
        <f t="shared" si="88"/>
        <v>4.8617270012227168E-2</v>
      </c>
      <c r="V162" s="14">
        <v>74589.340360000002</v>
      </c>
      <c r="W162" s="16">
        <f t="shared" si="95"/>
        <v>-0.79465059909262969</v>
      </c>
      <c r="X162" s="14">
        <f t="shared" si="89"/>
        <v>11.219752885365393</v>
      </c>
      <c r="Y162" s="14">
        <v>2.9</v>
      </c>
      <c r="Z162" s="16">
        <f t="shared" si="96"/>
        <v>0.3157330801521353</v>
      </c>
      <c r="AA162" s="14">
        <f t="shared" si="97"/>
        <v>1.0647107369924282</v>
      </c>
      <c r="AB162" s="14">
        <v>15801</v>
      </c>
      <c r="AC162" s="17">
        <v>424</v>
      </c>
      <c r="AD162" s="14">
        <f t="shared" si="90"/>
        <v>5.3389072868529411E-3</v>
      </c>
      <c r="AE162" s="14">
        <f t="shared" si="91"/>
        <v>-0.36617607138807012</v>
      </c>
      <c r="AF162" s="14">
        <f t="shared" si="98"/>
        <v>0</v>
      </c>
      <c r="AG162" s="14">
        <f t="shared" si="99"/>
        <v>0</v>
      </c>
      <c r="AH162" s="14">
        <f t="shared" si="100"/>
        <v>5.5297297030243815E-3</v>
      </c>
      <c r="AI162" s="14">
        <v>0</v>
      </c>
      <c r="AJ162" s="14">
        <v>0</v>
      </c>
      <c r="AK162" s="14">
        <v>0</v>
      </c>
      <c r="AL162" s="14">
        <v>0</v>
      </c>
    </row>
    <row r="163" spans="1:38" ht="17.25" customHeight="1" x14ac:dyDescent="0.2">
      <c r="A163" s="19" t="s">
        <v>9</v>
      </c>
      <c r="B163" s="19">
        <v>2015</v>
      </c>
      <c r="C163" s="14">
        <v>1</v>
      </c>
      <c r="D163" s="14">
        <v>0</v>
      </c>
      <c r="E163" s="14">
        <v>0</v>
      </c>
      <c r="F163" s="14">
        <v>1081.33</v>
      </c>
      <c r="G163" s="16">
        <f t="shared" si="92"/>
        <v>-0.97640683461597577</v>
      </c>
      <c r="H163" s="14">
        <f t="shared" si="85"/>
        <v>6.9859470439483857</v>
      </c>
      <c r="I163" s="17">
        <v>79836</v>
      </c>
      <c r="J163" s="15">
        <v>-78</v>
      </c>
      <c r="K163" s="14">
        <f t="shared" si="86"/>
        <v>-9.7700285585450172E-2</v>
      </c>
      <c r="L163" s="16">
        <f t="shared" si="93"/>
        <v>-0.25876952364605121</v>
      </c>
      <c r="M163" s="14">
        <v>1.0174024043472965</v>
      </c>
      <c r="N163" s="16">
        <f t="shared" si="94"/>
        <v>-0.38706256531446542</v>
      </c>
      <c r="O163" s="14">
        <v>1.84</v>
      </c>
      <c r="P163" s="17">
        <v>-0.10999999999999988</v>
      </c>
      <c r="Q163" s="14">
        <v>68851</v>
      </c>
      <c r="R163" s="14">
        <f>[1]Feuil1!J197/panel_choc_taux_suisse_2014_202!Q163</f>
        <v>9529.0146462409157</v>
      </c>
      <c r="S163" s="14">
        <v>43</v>
      </c>
      <c r="T163" s="17">
        <f t="shared" si="87"/>
        <v>-0.7839534593250006</v>
      </c>
      <c r="U163" s="17">
        <f t="shared" si="88"/>
        <v>0.2303495572783763</v>
      </c>
      <c r="V163" s="14">
        <v>74887.697719999996</v>
      </c>
      <c r="W163" s="16">
        <f t="shared" si="95"/>
        <v>-0.77772295954908699</v>
      </c>
      <c r="X163" s="14">
        <f t="shared" si="89"/>
        <v>11.223744906615702</v>
      </c>
      <c r="Y163" s="14">
        <v>3.2</v>
      </c>
      <c r="Z163" s="16">
        <f t="shared" si="96"/>
        <v>0.57415050147287561</v>
      </c>
      <c r="AA163" s="14">
        <f t="shared" si="97"/>
        <v>1.1631508098056809</v>
      </c>
      <c r="AB163" s="14">
        <v>16064</v>
      </c>
      <c r="AC163" s="17">
        <v>396</v>
      </c>
      <c r="AD163" s="14">
        <f t="shared" si="90"/>
        <v>4.9601683451074704E-3</v>
      </c>
      <c r="AE163" s="14">
        <f t="shared" si="91"/>
        <v>-0.27680195102331218</v>
      </c>
      <c r="AF163" s="14">
        <f t="shared" si="98"/>
        <v>3.0448214612564306E-2</v>
      </c>
      <c r="AG163" s="14">
        <f t="shared" si="99"/>
        <v>2.9993867404993414E-2</v>
      </c>
      <c r="AH163" s="14">
        <f t="shared" si="100"/>
        <v>0.31864800131631688</v>
      </c>
      <c r="AI163" s="14">
        <f t="shared" ref="AI163:AI171" si="113">LN(F163)-LN(F162)</f>
        <v>-6.9797112747200352E-2</v>
      </c>
      <c r="AJ163" s="14">
        <f t="shared" ref="AJ163:AJ171" si="114">K163-K162</f>
        <v>-0.21606285279398235</v>
      </c>
      <c r="AK163" s="14">
        <f t="shared" ref="AK163:AK171" si="115">Y163-Y162</f>
        <v>0.30000000000000027</v>
      </c>
      <c r="AL163" s="14">
        <f t="shared" ref="AL163:AL171" si="116">LN(V163)-LN(V162)</f>
        <v>3.9920212503083974E-3</v>
      </c>
    </row>
    <row r="164" spans="1:38" ht="17.25" customHeight="1" x14ac:dyDescent="0.2">
      <c r="A164" s="19" t="s">
        <v>9</v>
      </c>
      <c r="B164" s="19">
        <v>2016</v>
      </c>
      <c r="C164" s="14">
        <v>1</v>
      </c>
      <c r="D164" s="14">
        <v>0</v>
      </c>
      <c r="E164" s="14">
        <v>0</v>
      </c>
      <c r="F164" s="14">
        <v>1079.83</v>
      </c>
      <c r="G164" s="16">
        <f t="shared" si="92"/>
        <v>-0.98401039435435156</v>
      </c>
      <c r="H164" s="14">
        <f t="shared" si="85"/>
        <v>6.9845589003210113</v>
      </c>
      <c r="I164" s="17">
        <v>80769</v>
      </c>
      <c r="J164" s="15">
        <v>114</v>
      </c>
      <c r="K164" s="14">
        <f t="shared" si="86"/>
        <v>0.14114326040931546</v>
      </c>
      <c r="L164" s="16">
        <f t="shared" si="93"/>
        <v>0.48020862900650985</v>
      </c>
      <c r="M164" s="14">
        <v>0.98347652295718835</v>
      </c>
      <c r="N164" s="16">
        <f t="shared" si="94"/>
        <v>-1.8033693953850858</v>
      </c>
      <c r="O164" s="14">
        <v>1.71</v>
      </c>
      <c r="P164" s="17">
        <v>-0.13000000000000012</v>
      </c>
      <c r="Q164" s="14">
        <v>67754</v>
      </c>
      <c r="R164" s="14">
        <f>[1]Feuil1!J198/panel_choc_taux_suisse_2014_202!Q164</f>
        <v>9971.1174383308244</v>
      </c>
      <c r="S164" s="14">
        <v>41.9</v>
      </c>
      <c r="T164" s="17">
        <f t="shared" si="87"/>
        <v>-0.77651883770125985</v>
      </c>
      <c r="U164" s="17">
        <f t="shared" si="88"/>
        <v>0.11929093728239595</v>
      </c>
      <c r="V164" s="14">
        <v>75411.911600000007</v>
      </c>
      <c r="W164" s="16">
        <f t="shared" si="95"/>
        <v>-0.74798109695732029</v>
      </c>
      <c r="X164" s="14">
        <f t="shared" si="89"/>
        <v>11.230720520298554</v>
      </c>
      <c r="Y164" s="14">
        <v>3.3</v>
      </c>
      <c r="Z164" s="16">
        <f t="shared" si="96"/>
        <v>0.66028964191312201</v>
      </c>
      <c r="AA164" s="14">
        <f t="shared" si="97"/>
        <v>1.1939224684724346</v>
      </c>
      <c r="AB164" s="14">
        <v>16403</v>
      </c>
      <c r="AC164" s="17">
        <v>466</v>
      </c>
      <c r="AD164" s="14">
        <f t="shared" si="90"/>
        <v>5.7695402939246495E-3</v>
      </c>
      <c r="AE164" s="14">
        <f t="shared" si="91"/>
        <v>-0.32861395020943196</v>
      </c>
      <c r="AF164" s="14">
        <f t="shared" si="98"/>
        <v>4.2719813527226196E-2</v>
      </c>
      <c r="AG164" s="14">
        <f t="shared" si="99"/>
        <v>4.1832504768890312E-2</v>
      </c>
      <c r="AH164" s="14">
        <f t="shared" si="100"/>
        <v>0.44484462371219669</v>
      </c>
      <c r="AI164" s="14">
        <f t="shared" si="113"/>
        <v>-1.388143627374383E-3</v>
      </c>
      <c r="AJ164" s="14">
        <f t="shared" si="114"/>
        <v>0.23884354599476565</v>
      </c>
      <c r="AK164" s="14">
        <f t="shared" si="115"/>
        <v>9.9999999999999645E-2</v>
      </c>
      <c r="AL164" s="14">
        <f t="shared" si="116"/>
        <v>6.9756136828527104E-3</v>
      </c>
    </row>
    <row r="165" spans="1:38" ht="17.25" customHeight="1" x14ac:dyDescent="0.2">
      <c r="A165" s="19" t="s">
        <v>9</v>
      </c>
      <c r="B165" s="19">
        <v>2017</v>
      </c>
      <c r="C165" s="14">
        <v>1</v>
      </c>
      <c r="D165" s="14">
        <v>0</v>
      </c>
      <c r="E165" s="14">
        <v>0</v>
      </c>
      <c r="F165" s="14">
        <v>1128.83</v>
      </c>
      <c r="G165" s="16">
        <f t="shared" si="92"/>
        <v>-0.735627442900744</v>
      </c>
      <c r="H165" s="14">
        <f t="shared" si="85"/>
        <v>7.0289369770812637</v>
      </c>
      <c r="I165" s="17">
        <v>81351</v>
      </c>
      <c r="J165" s="15">
        <v>161</v>
      </c>
      <c r="K165" s="14">
        <f t="shared" si="86"/>
        <v>0.19790783149561775</v>
      </c>
      <c r="L165" s="16">
        <f t="shared" si="93"/>
        <v>0.65583731389628264</v>
      </c>
      <c r="M165" s="14">
        <v>1.0635156673797794</v>
      </c>
      <c r="N165" s="16">
        <f t="shared" si="94"/>
        <v>1.5380319853253162</v>
      </c>
      <c r="O165" s="14">
        <v>1.56</v>
      </c>
      <c r="P165" s="17">
        <v>-0.14999999999999991</v>
      </c>
      <c r="Q165" s="14">
        <v>69293</v>
      </c>
      <c r="R165" s="14">
        <f>[1]Feuil1!J199/panel_choc_taux_suisse_2014_202!Q165</f>
        <v>9991.9545880055211</v>
      </c>
      <c r="S165" s="14">
        <v>42.6</v>
      </c>
      <c r="T165" s="17">
        <f t="shared" si="87"/>
        <v>-0.77616842977278622</v>
      </c>
      <c r="U165" s="17">
        <f t="shared" si="88"/>
        <v>0.18996460455256547</v>
      </c>
      <c r="V165" s="14">
        <v>75713.559250000006</v>
      </c>
      <c r="W165" s="16">
        <f t="shared" si="95"/>
        <v>-0.7308667791192861</v>
      </c>
      <c r="X165" s="14">
        <f t="shared" si="89"/>
        <v>11.234712541615639</v>
      </c>
      <c r="Y165" s="14">
        <v>3.2</v>
      </c>
      <c r="Z165" s="16">
        <f t="shared" si="96"/>
        <v>0.57415050147287561</v>
      </c>
      <c r="AA165" s="14">
        <f t="shared" si="97"/>
        <v>1.1631508098056809</v>
      </c>
      <c r="AB165" s="14">
        <v>17076</v>
      </c>
      <c r="AC165" s="17">
        <v>546</v>
      </c>
      <c r="AD165" s="14">
        <f t="shared" si="90"/>
        <v>6.7116568941992111E-3</v>
      </c>
      <c r="AE165" s="14">
        <f t="shared" si="91"/>
        <v>-0.29310191261011037</v>
      </c>
      <c r="AF165" s="14">
        <f t="shared" si="98"/>
        <v>4.3965286891516527E-2</v>
      </c>
      <c r="AG165" s="14">
        <f t="shared" si="99"/>
        <v>4.3026238803738688E-2</v>
      </c>
      <c r="AH165" s="14">
        <f t="shared" si="100"/>
        <v>0.45765261498949339</v>
      </c>
      <c r="AI165" s="14">
        <f t="shared" si="113"/>
        <v>4.4378076760252405E-2</v>
      </c>
      <c r="AJ165" s="14">
        <f t="shared" si="114"/>
        <v>5.6764571086302285E-2</v>
      </c>
      <c r="AK165" s="14">
        <f t="shared" si="115"/>
        <v>-9.9999999999999645E-2</v>
      </c>
      <c r="AL165" s="14">
        <f t="shared" si="116"/>
        <v>3.9920213170852037E-3</v>
      </c>
    </row>
    <row r="166" spans="1:38" ht="17.25" customHeight="1" x14ac:dyDescent="0.2">
      <c r="A166" s="19" t="s">
        <v>9</v>
      </c>
      <c r="B166" s="19">
        <v>2018</v>
      </c>
      <c r="C166" s="14">
        <v>1</v>
      </c>
      <c r="D166" s="14">
        <v>0</v>
      </c>
      <c r="E166" s="14">
        <v>0</v>
      </c>
      <c r="F166" s="14">
        <v>1141.83</v>
      </c>
      <c r="G166" s="16">
        <f t="shared" si="92"/>
        <v>-0.66972992516815422</v>
      </c>
      <c r="H166" s="14">
        <f t="shared" si="85"/>
        <v>7.0403875174887265</v>
      </c>
      <c r="I166" s="17">
        <v>81991</v>
      </c>
      <c r="J166" s="15">
        <v>168</v>
      </c>
      <c r="K166" s="14">
        <f t="shared" si="86"/>
        <v>0.20490053786391188</v>
      </c>
      <c r="L166" s="16">
        <f t="shared" si="93"/>
        <v>0.67747263677076819</v>
      </c>
      <c r="M166" s="14">
        <v>1.0301138707197743</v>
      </c>
      <c r="N166" s="16">
        <f t="shared" si="94"/>
        <v>0.14360416774800241</v>
      </c>
      <c r="O166" s="14">
        <v>1.5</v>
      </c>
      <c r="P166" s="17">
        <v>-6.0000000000000053E-2</v>
      </c>
      <c r="Q166" s="14">
        <v>66705</v>
      </c>
      <c r="R166" s="14">
        <f>[1]Feuil1!J200/panel_choc_taux_suisse_2014_202!Q166</f>
        <v>10656.4596389576</v>
      </c>
      <c r="S166" s="14">
        <v>41.1</v>
      </c>
      <c r="T166" s="17">
        <f t="shared" si="87"/>
        <v>-0.76499378055254652</v>
      </c>
      <c r="U166" s="17">
        <f t="shared" si="88"/>
        <v>3.852103183077428E-2</v>
      </c>
      <c r="V166" s="14">
        <v>76092.127040000007</v>
      </c>
      <c r="W166" s="16">
        <f t="shared" si="95"/>
        <v>-0.70938831084246645</v>
      </c>
      <c r="X166" s="14">
        <f t="shared" si="89"/>
        <v>11.239700083044541</v>
      </c>
      <c r="Y166" s="14">
        <v>3.2</v>
      </c>
      <c r="Z166" s="16">
        <f t="shared" si="96"/>
        <v>0.57415050147287561</v>
      </c>
      <c r="AA166" s="14">
        <f t="shared" si="97"/>
        <v>1.1631508098056809</v>
      </c>
      <c r="AB166" s="14">
        <v>17347</v>
      </c>
      <c r="AC166" s="17">
        <v>303</v>
      </c>
      <c r="AD166" s="14">
        <f t="shared" si="90"/>
        <v>3.6955275579026968E-3</v>
      </c>
      <c r="AE166" s="14">
        <f t="shared" si="91"/>
        <v>-0.36323637436088613</v>
      </c>
      <c r="AF166" s="14">
        <f t="shared" si="98"/>
        <v>2.1794182461653187E-2</v>
      </c>
      <c r="AG166" s="14">
        <f t="shared" si="99"/>
        <v>2.1560084476600374E-2</v>
      </c>
      <c r="AH166" s="14">
        <f t="shared" si="100"/>
        <v>0.22965310870737568</v>
      </c>
      <c r="AI166" s="14">
        <f t="shared" si="113"/>
        <v>1.1450540407462739E-2</v>
      </c>
      <c r="AJ166" s="14">
        <f t="shared" si="114"/>
        <v>6.9927063682941326E-3</v>
      </c>
      <c r="AK166" s="14">
        <f t="shared" si="115"/>
        <v>0</v>
      </c>
      <c r="AL166" s="14">
        <f t="shared" si="116"/>
        <v>4.9875414289015652E-3</v>
      </c>
    </row>
    <row r="167" spans="1:38" ht="17.25" customHeight="1" x14ac:dyDescent="0.2">
      <c r="A167" s="19" t="s">
        <v>9</v>
      </c>
      <c r="B167" s="19">
        <v>2019</v>
      </c>
      <c r="C167" s="14">
        <v>1</v>
      </c>
      <c r="D167" s="14">
        <v>0</v>
      </c>
      <c r="E167" s="14">
        <v>0</v>
      </c>
      <c r="F167" s="14">
        <v>1146.83</v>
      </c>
      <c r="G167" s="16">
        <f t="shared" si="92"/>
        <v>-0.644384726040235</v>
      </c>
      <c r="H167" s="14">
        <f t="shared" si="85"/>
        <v>7.0447568934159213</v>
      </c>
      <c r="I167" s="17">
        <v>82348</v>
      </c>
      <c r="J167" s="15">
        <v>151</v>
      </c>
      <c r="K167" s="14">
        <f t="shared" si="86"/>
        <v>0.18336814494583961</v>
      </c>
      <c r="L167" s="16">
        <f t="shared" si="93"/>
        <v>0.61085175373826262</v>
      </c>
      <c r="M167" s="14">
        <v>1.036888899675622</v>
      </c>
      <c r="N167" s="16">
        <f t="shared" si="94"/>
        <v>0.42644191258817377</v>
      </c>
      <c r="O167" s="14">
        <v>1.43</v>
      </c>
      <c r="P167" s="17">
        <v>-7.0000000000000062E-2</v>
      </c>
      <c r="Q167" s="14">
        <v>66303</v>
      </c>
      <c r="R167" s="14">
        <f>[1]Feuil1!J201/panel_choc_taux_suisse_2014_202!Q167</f>
        <v>11012.574894549767</v>
      </c>
      <c r="S167" s="14">
        <v>40.6</v>
      </c>
      <c r="T167" s="17">
        <f t="shared" si="87"/>
        <v>-0.75900516834031906</v>
      </c>
      <c r="U167" s="17">
        <f t="shared" si="88"/>
        <v>-1.1960159076489452E-2</v>
      </c>
      <c r="V167" s="14">
        <v>76777</v>
      </c>
      <c r="W167" s="16">
        <f t="shared" si="95"/>
        <v>-0.67053127510519084</v>
      </c>
      <c r="X167" s="14">
        <f t="shared" si="89"/>
        <v>11.248660395116255</v>
      </c>
      <c r="Y167" s="14">
        <v>2.9</v>
      </c>
      <c r="Z167" s="16">
        <f t="shared" si="96"/>
        <v>0.3157330801521353</v>
      </c>
      <c r="AA167" s="14">
        <f t="shared" si="97"/>
        <v>1.0647107369924282</v>
      </c>
      <c r="AB167" s="14">
        <v>17644</v>
      </c>
      <c r="AC167" s="17">
        <v>315</v>
      </c>
      <c r="AD167" s="14">
        <f t="shared" si="90"/>
        <v>3.8252295137708261E-3</v>
      </c>
      <c r="AE167" s="14">
        <f t="shared" si="91"/>
        <v>-0.38548266370840423</v>
      </c>
      <c r="AF167" s="14">
        <f t="shared" si="98"/>
        <v>2.6983786459588321E-2</v>
      </c>
      <c r="AG167" s="14">
        <f t="shared" si="99"/>
        <v>2.6626143538050286E-2</v>
      </c>
      <c r="AH167" s="14">
        <f t="shared" si="100"/>
        <v>0.28302109283608556</v>
      </c>
      <c r="AI167" s="14">
        <f t="shared" si="113"/>
        <v>4.3693759271947741E-3</v>
      </c>
      <c r="AJ167" s="14">
        <f t="shared" si="114"/>
        <v>-2.1532392918072268E-2</v>
      </c>
      <c r="AK167" s="14">
        <f t="shared" si="115"/>
        <v>-0.30000000000000027</v>
      </c>
      <c r="AL167" s="14">
        <f t="shared" si="116"/>
        <v>8.960312071714327E-3</v>
      </c>
    </row>
    <row r="168" spans="1:38" ht="17.25" customHeight="1" x14ac:dyDescent="0.2">
      <c r="A168" s="19" t="s">
        <v>9</v>
      </c>
      <c r="B168" s="19">
        <v>2020</v>
      </c>
      <c r="C168" s="14">
        <v>1</v>
      </c>
      <c r="D168" s="14">
        <v>0</v>
      </c>
      <c r="E168" s="14">
        <v>0</v>
      </c>
      <c r="F168" s="14">
        <v>1189.17</v>
      </c>
      <c r="G168" s="16">
        <f t="shared" si="92"/>
        <v>-0.42976157982501506</v>
      </c>
      <c r="H168" s="14">
        <f t="shared" si="85"/>
        <v>7.0810108637623452</v>
      </c>
      <c r="I168" s="17">
        <v>83107</v>
      </c>
      <c r="J168" s="15">
        <v>359</v>
      </c>
      <c r="K168" s="14">
        <f t="shared" si="86"/>
        <v>0.43197323931798765</v>
      </c>
      <c r="L168" s="16">
        <f t="shared" si="93"/>
        <v>1.380031982636605</v>
      </c>
      <c r="M168" s="14">
        <v>1.0413346451454319</v>
      </c>
      <c r="N168" s="16">
        <f t="shared" si="94"/>
        <v>0.61203884966534006</v>
      </c>
      <c r="O168" s="14">
        <v>1.33</v>
      </c>
      <c r="P168" s="17">
        <v>-9.9999999999999867E-2</v>
      </c>
      <c r="Q168" s="14">
        <v>65102</v>
      </c>
      <c r="R168" s="14">
        <f>[1]Feuil1!J202/panel_choc_taux_suisse_2014_202!Q168</f>
        <v>11511.42464478818</v>
      </c>
      <c r="S168" s="14">
        <v>40</v>
      </c>
      <c r="T168" s="17">
        <f t="shared" si="87"/>
        <v>-0.75061626149223482</v>
      </c>
      <c r="U168" s="17">
        <f t="shared" si="88"/>
        <v>-7.2537588165206071E-2</v>
      </c>
      <c r="V168" s="14">
        <v>77391.171839999995</v>
      </c>
      <c r="W168" s="16">
        <f t="shared" si="95"/>
        <v>-0.63568554672994826</v>
      </c>
      <c r="X168" s="14">
        <f t="shared" si="89"/>
        <v>11.256627994157878</v>
      </c>
      <c r="Y168" s="14">
        <v>3.6</v>
      </c>
      <c r="Z168" s="16">
        <f t="shared" si="96"/>
        <v>0.91870706323386231</v>
      </c>
      <c r="AA168" s="14">
        <f t="shared" si="97"/>
        <v>1.2809338454620642</v>
      </c>
      <c r="AB168" s="14">
        <v>17960</v>
      </c>
      <c r="AC168" s="17">
        <v>587</v>
      </c>
      <c r="AD168" s="14">
        <f t="shared" si="90"/>
        <v>7.0631836066757311E-3</v>
      </c>
      <c r="AE168" s="14">
        <f t="shared" si="91"/>
        <v>-0.41157692482872044</v>
      </c>
      <c r="AF168" s="14">
        <f t="shared" si="98"/>
        <v>4.1157692482871988E-2</v>
      </c>
      <c r="AG168" s="14">
        <f t="shared" si="99"/>
        <v>4.0333259892498384E-2</v>
      </c>
      <c r="AH168" s="14">
        <f t="shared" si="100"/>
        <v>0.42878034382968744</v>
      </c>
      <c r="AI168" s="14">
        <f t="shared" si="113"/>
        <v>3.6253970346423969E-2</v>
      </c>
      <c r="AJ168" s="14">
        <f t="shared" si="114"/>
        <v>0.24860509437214803</v>
      </c>
      <c r="AK168" s="14">
        <f t="shared" si="115"/>
        <v>0.70000000000000018</v>
      </c>
      <c r="AL168" s="14">
        <f t="shared" si="116"/>
        <v>7.9675990416223641E-3</v>
      </c>
    </row>
    <row r="169" spans="1:38" ht="17.25" customHeight="1" x14ac:dyDescent="0.2">
      <c r="A169" s="19" t="s">
        <v>9</v>
      </c>
      <c r="B169" s="19">
        <v>2021</v>
      </c>
      <c r="C169" s="14">
        <v>1</v>
      </c>
      <c r="D169" s="14">
        <v>0</v>
      </c>
      <c r="E169" s="14">
        <v>0</v>
      </c>
      <c r="F169" s="14">
        <v>1215.67</v>
      </c>
      <c r="G169" s="16">
        <f t="shared" si="92"/>
        <v>-0.29543202444704364</v>
      </c>
      <c r="H169" s="14">
        <f t="shared" si="85"/>
        <v>7.1030506441165207</v>
      </c>
      <c r="I169" s="17">
        <v>83995</v>
      </c>
      <c r="J169" s="15">
        <v>321</v>
      </c>
      <c r="K169" s="14">
        <f t="shared" si="86"/>
        <v>0.38216560509554143</v>
      </c>
      <c r="L169" s="16">
        <f t="shared" si="93"/>
        <v>1.2259279503404825</v>
      </c>
      <c r="M169" s="14">
        <v>1.0457435779736526</v>
      </c>
      <c r="N169" s="16">
        <f t="shared" si="94"/>
        <v>0.79609896607405228</v>
      </c>
      <c r="O169" s="14">
        <v>1.25</v>
      </c>
      <c r="P169" s="17">
        <v>-8.0000000000000071E-2</v>
      </c>
      <c r="Q169" s="14">
        <v>65512</v>
      </c>
      <c r="R169" s="14">
        <f>[1]Feuil1!J203/panel_choc_taux_suisse_2014_202!Q169</f>
        <v>11801.651392874584</v>
      </c>
      <c r="S169" s="14">
        <v>39.9</v>
      </c>
      <c r="T169" s="17">
        <f t="shared" si="87"/>
        <v>-0.74573566336954233</v>
      </c>
      <c r="U169" s="17">
        <f t="shared" si="88"/>
        <v>-8.2633826346658959E-2</v>
      </c>
      <c r="V169" s="14">
        <v>77236.389490000001</v>
      </c>
      <c r="W169" s="16">
        <f t="shared" si="95"/>
        <v>-0.64446729700586702</v>
      </c>
      <c r="X169" s="14">
        <f t="shared" si="89"/>
        <v>11.254625991405378</v>
      </c>
      <c r="Y169" s="14">
        <v>3.3</v>
      </c>
      <c r="Z169" s="16">
        <f t="shared" si="96"/>
        <v>0.66028964191312201</v>
      </c>
      <c r="AA169" s="14">
        <f t="shared" si="97"/>
        <v>1.1939224684724346</v>
      </c>
      <c r="AB169" s="14">
        <v>18336</v>
      </c>
      <c r="AC169" s="17">
        <v>361</v>
      </c>
      <c r="AD169" s="14">
        <f t="shared" si="90"/>
        <v>4.2978748735043749E-3</v>
      </c>
      <c r="AE169" s="14">
        <f t="shared" si="91"/>
        <v>-0.41418474485810064</v>
      </c>
      <c r="AF169" s="14">
        <f t="shared" si="98"/>
        <v>3.3134779588648078E-2</v>
      </c>
      <c r="AG169" s="14">
        <f t="shared" si="99"/>
        <v>3.2597655574868642E-2</v>
      </c>
      <c r="AH169" s="14">
        <f t="shared" si="100"/>
        <v>0.34627565018151618</v>
      </c>
      <c r="AI169" s="14">
        <f t="shared" si="113"/>
        <v>2.203978035417542E-2</v>
      </c>
      <c r="AJ169" s="14">
        <f t="shared" si="114"/>
        <v>-4.9807634222446218E-2</v>
      </c>
      <c r="AK169" s="14">
        <f t="shared" si="115"/>
        <v>-0.30000000000000027</v>
      </c>
      <c r="AL169" s="14">
        <f t="shared" si="116"/>
        <v>-2.0020027524996209E-3</v>
      </c>
    </row>
    <row r="170" spans="1:38" ht="17.25" customHeight="1" x14ac:dyDescent="0.2">
      <c r="A170" s="19" t="s">
        <v>9</v>
      </c>
      <c r="B170" s="19">
        <v>2022</v>
      </c>
      <c r="C170" s="14">
        <v>1</v>
      </c>
      <c r="D170" s="14">
        <v>0</v>
      </c>
      <c r="E170" s="14">
        <v>0</v>
      </c>
      <c r="F170" s="14">
        <v>1222.17</v>
      </c>
      <c r="G170" s="16">
        <f t="shared" si="92"/>
        <v>-0.26248326558074875</v>
      </c>
      <c r="H170" s="14">
        <f t="shared" si="85"/>
        <v>7.1083832462587253</v>
      </c>
      <c r="I170" s="17">
        <v>85214</v>
      </c>
      <c r="J170" s="15">
        <v>454</v>
      </c>
      <c r="K170" s="14">
        <f t="shared" si="86"/>
        <v>0.53277630436313284</v>
      </c>
      <c r="L170" s="16">
        <f t="shared" si="93"/>
        <v>1.6919150711183422</v>
      </c>
      <c r="M170" s="14">
        <v>0.98600652141555722</v>
      </c>
      <c r="N170" s="16">
        <f t="shared" si="94"/>
        <v>-1.6977493215702677</v>
      </c>
      <c r="O170" s="14">
        <v>1.21</v>
      </c>
      <c r="P170" s="17">
        <v>-4.0000000000000036E-2</v>
      </c>
      <c r="Q170" s="14">
        <v>66770</v>
      </c>
      <c r="R170" s="14">
        <f>[1]Feuil1!J204/panel_choc_taux_suisse_2014_202!Q170</f>
        <v>11923.506027657131</v>
      </c>
      <c r="S170" s="14">
        <v>39.9</v>
      </c>
      <c r="T170" s="17">
        <f t="shared" si="87"/>
        <v>-0.74368649489805461</v>
      </c>
      <c r="U170" s="17">
        <f t="shared" si="88"/>
        <v>-8.2633826346658959E-2</v>
      </c>
      <c r="V170" s="14">
        <v>77931.517000000007</v>
      </c>
      <c r="W170" s="16">
        <f t="shared" si="95"/>
        <v>-0.60502845786987036</v>
      </c>
      <c r="X170" s="14">
        <f t="shared" si="89"/>
        <v>11.263585732835747</v>
      </c>
      <c r="Y170" s="14">
        <v>2.5</v>
      </c>
      <c r="Z170" s="16">
        <f t="shared" si="96"/>
        <v>-2.882348160885137E-2</v>
      </c>
      <c r="AA170" s="14">
        <f t="shared" si="97"/>
        <v>0.91629073187415511</v>
      </c>
      <c r="AB170" s="14">
        <v>18721</v>
      </c>
      <c r="AC170" s="17">
        <v>457</v>
      </c>
      <c r="AD170" s="14">
        <f t="shared" si="90"/>
        <v>5.3629685262984953E-3</v>
      </c>
      <c r="AE170" s="14">
        <f t="shared" si="91"/>
        <v>-0.41316016062235678</v>
      </c>
      <c r="AF170" s="14">
        <f t="shared" si="98"/>
        <v>1.6526406424894287E-2</v>
      </c>
      <c r="AG170" s="14">
        <f t="shared" si="99"/>
        <v>1.6391331540184455E-2</v>
      </c>
      <c r="AH170" s="14">
        <f t="shared" si="100"/>
        <v>0.17548123200248564</v>
      </c>
      <c r="AI170" s="14">
        <f t="shared" si="113"/>
        <v>5.3326021422046566E-3</v>
      </c>
      <c r="AJ170" s="14">
        <f t="shared" si="114"/>
        <v>0.15061069926759141</v>
      </c>
      <c r="AK170" s="14">
        <f t="shared" si="115"/>
        <v>-0.79999999999999982</v>
      </c>
      <c r="AL170" s="14">
        <f t="shared" si="116"/>
        <v>8.9597414303685952E-3</v>
      </c>
    </row>
    <row r="171" spans="1:38" ht="17.25" customHeight="1" x14ac:dyDescent="0.2">
      <c r="A171" s="19" t="s">
        <v>9</v>
      </c>
      <c r="B171" s="19">
        <v>2023</v>
      </c>
      <c r="C171" s="14">
        <v>1</v>
      </c>
      <c r="D171" s="14">
        <v>0</v>
      </c>
      <c r="E171" s="14">
        <v>0</v>
      </c>
      <c r="F171" s="14">
        <v>1388.29</v>
      </c>
      <c r="G171" s="16">
        <f t="shared" si="92"/>
        <v>0.57958563024523613</v>
      </c>
      <c r="H171" s="14">
        <f t="shared" si="85"/>
        <v>7.23582805296072</v>
      </c>
      <c r="I171" s="17">
        <v>87111</v>
      </c>
      <c r="J171" s="15">
        <v>523</v>
      </c>
      <c r="K171" s="14">
        <f t="shared" si="86"/>
        <v>0.60038341885640167</v>
      </c>
      <c r="L171" s="16">
        <f t="shared" si="93"/>
        <v>1.9010904137734077</v>
      </c>
      <c r="M171" s="14">
        <v>1.0341430614279774</v>
      </c>
      <c r="N171" s="16">
        <f t="shared" si="94"/>
        <v>0.31181115562449047</v>
      </c>
      <c r="O171" s="14">
        <v>1.48</v>
      </c>
      <c r="P171" s="17">
        <v>0.27</v>
      </c>
      <c r="Q171" s="14">
        <v>64579</v>
      </c>
      <c r="R171" s="14">
        <f>[1]Feuil1!J205/panel_choc_taux_suisse_2014_202!Q171</f>
        <v>12590.599755209383</v>
      </c>
      <c r="S171" s="14">
        <v>38.700000000000003</v>
      </c>
      <c r="T171" s="17">
        <f t="shared" si="87"/>
        <v>-0.73246831319764771</v>
      </c>
      <c r="U171" s="17">
        <f t="shared" si="88"/>
        <v>-0.20378868452409149</v>
      </c>
      <c r="V171" s="14">
        <v>91179.874890000006</v>
      </c>
      <c r="W171" s="16">
        <f t="shared" si="95"/>
        <v>0.14663199021082535</v>
      </c>
      <c r="X171" s="14">
        <f t="shared" si="89"/>
        <v>11.420589481645411</v>
      </c>
      <c r="Y171" s="14">
        <v>2.5</v>
      </c>
      <c r="Z171" s="16">
        <f t="shared" si="96"/>
        <v>-2.882348160885137E-2</v>
      </c>
      <c r="AA171" s="14">
        <f t="shared" si="97"/>
        <v>0.91629073187415511</v>
      </c>
      <c r="AB171" s="14">
        <v>19122</v>
      </c>
      <c r="AC171" s="17">
        <v>394</v>
      </c>
      <c r="AD171" s="14">
        <f t="shared" si="90"/>
        <v>4.5229649527614192E-3</v>
      </c>
      <c r="AE171" s="14">
        <f t="shared" si="91"/>
        <v>-0.4681284988608696</v>
      </c>
      <c r="AF171" s="14">
        <f t="shared" si="98"/>
        <v>-0.12639469469243481</v>
      </c>
      <c r="AG171" s="14">
        <f t="shared" si="99"/>
        <v>-0.13512660108461014</v>
      </c>
      <c r="AH171" s="14">
        <f t="shared" si="100"/>
        <v>-1.2942669528536579</v>
      </c>
      <c r="AI171" s="14">
        <f t="shared" si="113"/>
        <v>0.12744480670199465</v>
      </c>
      <c r="AJ171" s="14">
        <f t="shared" si="114"/>
        <v>6.7607114493268838E-2</v>
      </c>
      <c r="AK171" s="14">
        <f t="shared" si="115"/>
        <v>0</v>
      </c>
      <c r="AL171" s="14">
        <f t="shared" si="116"/>
        <v>0.1570037488096645</v>
      </c>
    </row>
    <row r="172" spans="1:38" ht="17.25" customHeight="1" x14ac:dyDescent="0.2">
      <c r="A172" s="19" t="s">
        <v>8</v>
      </c>
      <c r="B172" s="19">
        <v>2014</v>
      </c>
      <c r="C172" s="14">
        <v>1</v>
      </c>
      <c r="D172" s="14">
        <v>0</v>
      </c>
      <c r="E172" s="14">
        <v>0</v>
      </c>
      <c r="F172" s="14">
        <v>1129.83</v>
      </c>
      <c r="G172" s="16">
        <f t="shared" si="92"/>
        <v>-0.73055840307516007</v>
      </c>
      <c r="H172" s="14">
        <f t="shared" si="85"/>
        <v>7.029822457910905</v>
      </c>
      <c r="I172" s="17">
        <v>263719</v>
      </c>
      <c r="J172" s="15">
        <v>403</v>
      </c>
      <c r="K172" s="14">
        <f t="shared" si="86"/>
        <v>0.1528141696275202</v>
      </c>
      <c r="L172" s="16">
        <f t="shared" si="93"/>
        <v>0.51631823748650496</v>
      </c>
      <c r="M172" s="14">
        <v>1.0281149308624065</v>
      </c>
      <c r="N172" s="16">
        <f t="shared" si="94"/>
        <v>6.0154245243822686E-2</v>
      </c>
      <c r="O172" s="14">
        <v>1.95</v>
      </c>
      <c r="P172" s="17">
        <v>0</v>
      </c>
      <c r="Q172" s="14">
        <v>25762</v>
      </c>
      <c r="R172" s="14">
        <f>[1]Feuil1!J206/panel_choc_taux_suisse_2014_202!Q172</f>
        <v>24641.422767383487</v>
      </c>
      <c r="S172" s="14">
        <v>44.8</v>
      </c>
      <c r="T172" s="17">
        <f t="shared" si="87"/>
        <v>-0.52981564745297605</v>
      </c>
      <c r="U172" s="17">
        <f t="shared" si="88"/>
        <v>0.41208184454452546</v>
      </c>
      <c r="V172" s="14">
        <v>75782.949930000002</v>
      </c>
      <c r="W172" s="16">
        <f t="shared" si="95"/>
        <v>-0.72692982104082182</v>
      </c>
      <c r="X172" s="14">
        <f t="shared" si="89"/>
        <v>11.235628611368378</v>
      </c>
      <c r="Y172" s="14">
        <v>2.4</v>
      </c>
      <c r="Z172" s="16">
        <f t="shared" si="96"/>
        <v>-0.11496262204909814</v>
      </c>
      <c r="AA172" s="14">
        <f t="shared" si="97"/>
        <v>0.87546873735389985</v>
      </c>
      <c r="AB172" s="14">
        <v>48453</v>
      </c>
      <c r="AC172" s="17">
        <v>1676</v>
      </c>
      <c r="AD172" s="14">
        <f t="shared" si="90"/>
        <v>6.3552493373628749E-3</v>
      </c>
      <c r="AE172" s="14">
        <f t="shared" si="91"/>
        <v>-5.8866901454225296E-2</v>
      </c>
      <c r="AF172" s="14">
        <f t="shared" si="98"/>
        <v>0</v>
      </c>
      <c r="AG172" s="14">
        <f t="shared" si="99"/>
        <v>0</v>
      </c>
      <c r="AH172" s="14">
        <f t="shared" si="100"/>
        <v>5.5297297030243815E-3</v>
      </c>
      <c r="AI172" s="14">
        <v>0</v>
      </c>
      <c r="AJ172" s="14">
        <v>0</v>
      </c>
      <c r="AK172" s="14">
        <v>0</v>
      </c>
      <c r="AL172" s="14">
        <v>0</v>
      </c>
    </row>
    <row r="173" spans="1:38" ht="17.25" customHeight="1" x14ac:dyDescent="0.2">
      <c r="A173" s="19" t="s">
        <v>8</v>
      </c>
      <c r="B173" s="19">
        <v>2015</v>
      </c>
      <c r="C173" s="14">
        <v>1</v>
      </c>
      <c r="D173" s="14">
        <v>0</v>
      </c>
      <c r="E173" s="14">
        <v>0</v>
      </c>
      <c r="F173" s="14">
        <v>1065.17</v>
      </c>
      <c r="G173" s="16">
        <f t="shared" si="92"/>
        <v>-1.0583225181974096</v>
      </c>
      <c r="H173" s="14">
        <f t="shared" si="85"/>
        <v>6.9708896898180503</v>
      </c>
      <c r="I173" s="17">
        <v>266418</v>
      </c>
      <c r="J173" s="15">
        <v>597</v>
      </c>
      <c r="K173" s="14">
        <f t="shared" si="86"/>
        <v>0.22408395829110644</v>
      </c>
      <c r="L173" s="16">
        <f t="shared" si="93"/>
        <v>0.73682583607872154</v>
      </c>
      <c r="M173" s="14">
        <v>1.0174024043472965</v>
      </c>
      <c r="N173" s="16">
        <f t="shared" si="94"/>
        <v>-0.38706256531446542</v>
      </c>
      <c r="O173" s="14">
        <v>1.84</v>
      </c>
      <c r="P173" s="17">
        <v>-0.10999999999999988</v>
      </c>
      <c r="Q173" s="14">
        <v>26559</v>
      </c>
      <c r="R173" s="14">
        <f>[1]Feuil1!J207/panel_choc_taux_suisse_2014_202!Q173</f>
        <v>24702.819662198624</v>
      </c>
      <c r="S173" s="14">
        <v>46</v>
      </c>
      <c r="T173" s="17">
        <f t="shared" si="87"/>
        <v>-0.52878316656846192</v>
      </c>
      <c r="U173" s="17">
        <f t="shared" si="88"/>
        <v>0.53323670272195867</v>
      </c>
      <c r="V173" s="14">
        <v>76086.081730000005</v>
      </c>
      <c r="W173" s="16">
        <f t="shared" si="95"/>
        <v>-0.70973129828748538</v>
      </c>
      <c r="X173" s="14">
        <f t="shared" si="89"/>
        <v>11.239620632641596</v>
      </c>
      <c r="Y173" s="14">
        <v>2.6</v>
      </c>
      <c r="Z173" s="16">
        <f t="shared" si="96"/>
        <v>5.7315658831395402E-2</v>
      </c>
      <c r="AA173" s="14">
        <f t="shared" si="97"/>
        <v>0.95551144502743635</v>
      </c>
      <c r="AB173" s="14">
        <v>49499</v>
      </c>
      <c r="AC173" s="17">
        <v>1881</v>
      </c>
      <c r="AD173" s="14">
        <f t="shared" si="90"/>
        <v>7.0603337612323491E-3</v>
      </c>
      <c r="AE173" s="14">
        <f t="shared" si="91"/>
        <v>2.2267680767483755E-3</v>
      </c>
      <c r="AF173" s="14">
        <f t="shared" si="98"/>
        <v>-2.4494448844232102E-4</v>
      </c>
      <c r="AG173" s="14">
        <f t="shared" si="99"/>
        <v>-2.4497449224318644E-4</v>
      </c>
      <c r="AH173" s="14">
        <f t="shared" si="100"/>
        <v>3.0108104219374308E-3</v>
      </c>
      <c r="AI173" s="14">
        <f t="shared" ref="AI173:AI181" si="117">LN(F173)-LN(F172)</f>
        <v>-5.8932768092854637E-2</v>
      </c>
      <c r="AJ173" s="14">
        <f t="shared" ref="AJ173:AJ181" si="118">K173-K172</f>
        <v>7.1269788663586242E-2</v>
      </c>
      <c r="AK173" s="14">
        <f t="shared" ref="AK173:AK181" si="119">Y173-Y172</f>
        <v>0.20000000000000018</v>
      </c>
      <c r="AL173" s="14">
        <f t="shared" ref="AL173:AL181" si="120">LN(V173)-LN(V172)</f>
        <v>3.9920212732180715E-3</v>
      </c>
    </row>
    <row r="174" spans="1:38" ht="17.25" customHeight="1" x14ac:dyDescent="0.2">
      <c r="A174" s="19" t="s">
        <v>8</v>
      </c>
      <c r="B174" s="19">
        <v>2016</v>
      </c>
      <c r="C174" s="14">
        <v>1</v>
      </c>
      <c r="D174" s="14">
        <v>0</v>
      </c>
      <c r="E174" s="14">
        <v>0</v>
      </c>
      <c r="F174" s="14">
        <v>1101.83</v>
      </c>
      <c r="G174" s="16">
        <f t="shared" si="92"/>
        <v>-0.87249151819150728</v>
      </c>
      <c r="H174" s="14">
        <f t="shared" si="85"/>
        <v>7.0047277128400181</v>
      </c>
      <c r="I174" s="17">
        <v>269441</v>
      </c>
      <c r="J174" s="15">
        <v>568</v>
      </c>
      <c r="K174" s="14">
        <f t="shared" si="86"/>
        <v>0.21080681856139191</v>
      </c>
      <c r="L174" s="16">
        <f t="shared" si="93"/>
        <v>0.69574657580769295</v>
      </c>
      <c r="M174" s="14">
        <v>0.98347652295718835</v>
      </c>
      <c r="N174" s="16">
        <f t="shared" si="94"/>
        <v>-1.8033693953850858</v>
      </c>
      <c r="O174" s="14">
        <v>1.71</v>
      </c>
      <c r="P174" s="17">
        <v>-0.13000000000000012</v>
      </c>
      <c r="Q174" s="14">
        <v>26342</v>
      </c>
      <c r="R174" s="14">
        <f>[1]Feuil1!J208/panel_choc_taux_suisse_2014_202!Q174</f>
        <v>25646.613427859185</v>
      </c>
      <c r="S174" s="14">
        <v>45</v>
      </c>
      <c r="T174" s="17">
        <f t="shared" si="87"/>
        <v>-0.51291185866433819</v>
      </c>
      <c r="U174" s="17">
        <f t="shared" si="88"/>
        <v>0.43227432090743123</v>
      </c>
      <c r="V174" s="14">
        <v>76618.684299999994</v>
      </c>
      <c r="W174" s="16">
        <f t="shared" si="95"/>
        <v>-0.67951349395738803</v>
      </c>
      <c r="X174" s="14">
        <f t="shared" si="89"/>
        <v>11.246596246350482</v>
      </c>
      <c r="Y174" s="14">
        <v>3</v>
      </c>
      <c r="Z174" s="16">
        <f t="shared" si="96"/>
        <v>0.40187222059238209</v>
      </c>
      <c r="AA174" s="14">
        <f t="shared" si="97"/>
        <v>1.0986122886681098</v>
      </c>
      <c r="AB174" s="14">
        <v>50413</v>
      </c>
      <c r="AC174" s="17">
        <v>1359</v>
      </c>
      <c r="AD174" s="14">
        <f t="shared" si="90"/>
        <v>5.0437758173403451E-3</v>
      </c>
      <c r="AE174" s="14">
        <f t="shared" si="91"/>
        <v>-4.0318768878453481E-2</v>
      </c>
      <c r="AF174" s="14">
        <f t="shared" si="98"/>
        <v>5.2414399541989573E-3</v>
      </c>
      <c r="AG174" s="14">
        <f t="shared" si="99"/>
        <v>5.2277514187259256E-3</v>
      </c>
      <c r="AH174" s="14">
        <f t="shared" si="100"/>
        <v>5.9430775794127644E-2</v>
      </c>
      <c r="AI174" s="14">
        <f t="shared" si="117"/>
        <v>3.38380230219677E-2</v>
      </c>
      <c r="AJ174" s="14">
        <f t="shared" si="118"/>
        <v>-1.3277139729714532E-2</v>
      </c>
      <c r="AK174" s="14">
        <f t="shared" si="119"/>
        <v>0.39999999999999991</v>
      </c>
      <c r="AL174" s="14">
        <f t="shared" si="120"/>
        <v>6.9756137088852199E-3</v>
      </c>
    </row>
    <row r="175" spans="1:38" ht="17.25" customHeight="1" x14ac:dyDescent="0.2">
      <c r="A175" s="19" t="s">
        <v>8</v>
      </c>
      <c r="B175" s="19">
        <v>2017</v>
      </c>
      <c r="C175" s="14">
        <v>1</v>
      </c>
      <c r="D175" s="14">
        <v>0</v>
      </c>
      <c r="E175" s="14">
        <v>0</v>
      </c>
      <c r="F175" s="14">
        <v>1099.5</v>
      </c>
      <c r="G175" s="16">
        <f t="shared" si="92"/>
        <v>-0.88430238098511726</v>
      </c>
      <c r="H175" s="14">
        <f t="shared" si="85"/>
        <v>7.0026108099948159</v>
      </c>
      <c r="I175" s="17">
        <v>271432</v>
      </c>
      <c r="J175" s="15">
        <v>175</v>
      </c>
      <c r="K175" s="14">
        <f t="shared" si="86"/>
        <v>6.447286981638127E-2</v>
      </c>
      <c r="L175" s="16">
        <f t="shared" si="93"/>
        <v>0.24299165348581278</v>
      </c>
      <c r="M175" s="14">
        <v>1.0635156673797794</v>
      </c>
      <c r="N175" s="16">
        <f t="shared" si="94"/>
        <v>1.5380319853253162</v>
      </c>
      <c r="O175" s="14">
        <v>1.56</v>
      </c>
      <c r="P175" s="17">
        <v>-0.14999999999999991</v>
      </c>
      <c r="Q175" s="14">
        <v>27481</v>
      </c>
      <c r="R175" s="14">
        <f>[1]Feuil1!J209/panel_choc_taux_suisse_2014_202!Q175</f>
        <v>25194.589325958535</v>
      </c>
      <c r="S175" s="14">
        <v>46.2</v>
      </c>
      <c r="T175" s="17">
        <f t="shared" si="87"/>
        <v>-0.52051332199497269</v>
      </c>
      <c r="U175" s="17">
        <f t="shared" si="88"/>
        <v>0.55342917908486444</v>
      </c>
      <c r="V175" s="14">
        <v>76925.159039999999</v>
      </c>
      <c r="W175" s="16">
        <f t="shared" si="95"/>
        <v>-0.66212530575274264</v>
      </c>
      <c r="X175" s="14">
        <f t="shared" si="89"/>
        <v>11.250588267656418</v>
      </c>
      <c r="Y175" s="14">
        <v>2.7</v>
      </c>
      <c r="Z175" s="16">
        <f t="shared" si="96"/>
        <v>0.14345479927164217</v>
      </c>
      <c r="AA175" s="14">
        <f t="shared" si="97"/>
        <v>0.99325177301028345</v>
      </c>
      <c r="AB175" s="14">
        <v>52477</v>
      </c>
      <c r="AC175" s="17">
        <v>1505</v>
      </c>
      <c r="AD175" s="14">
        <f t="shared" si="90"/>
        <v>5.5446668042087892E-3</v>
      </c>
      <c r="AE175" s="14">
        <f t="shared" si="91"/>
        <v>1.6457928544945877E-2</v>
      </c>
      <c r="AF175" s="14">
        <f t="shared" si="98"/>
        <v>-2.4686892817418799E-3</v>
      </c>
      <c r="AG175" s="14">
        <f t="shared" si="99"/>
        <v>-2.4717415195127258E-3</v>
      </c>
      <c r="AH175" s="14">
        <f t="shared" si="100"/>
        <v>-1.9857365431621268E-2</v>
      </c>
      <c r="AI175" s="14">
        <f t="shared" si="117"/>
        <v>-2.1169028452021621E-3</v>
      </c>
      <c r="AJ175" s="14">
        <f t="shared" si="118"/>
        <v>-0.14633394874501066</v>
      </c>
      <c r="AK175" s="14">
        <f t="shared" si="119"/>
        <v>-0.29999999999999982</v>
      </c>
      <c r="AL175" s="14">
        <f t="shared" si="120"/>
        <v>3.9920213059367882E-3</v>
      </c>
    </row>
    <row r="176" spans="1:38" ht="17.25" customHeight="1" x14ac:dyDescent="0.2">
      <c r="A176" s="19" t="s">
        <v>8</v>
      </c>
      <c r="B176" s="19">
        <v>2018</v>
      </c>
      <c r="C176" s="14">
        <v>1</v>
      </c>
      <c r="D176" s="14">
        <v>0</v>
      </c>
      <c r="E176" s="14">
        <v>0</v>
      </c>
      <c r="F176" s="14">
        <v>1136.83</v>
      </c>
      <c r="G176" s="16">
        <f t="shared" si="92"/>
        <v>-0.69507512429607332</v>
      </c>
      <c r="H176" s="14">
        <f t="shared" si="85"/>
        <v>7.0359989663009754</v>
      </c>
      <c r="I176" s="17">
        <v>273194</v>
      </c>
      <c r="J176" s="15">
        <v>334</v>
      </c>
      <c r="K176" s="14">
        <f t="shared" si="86"/>
        <v>0.1222574434284794</v>
      </c>
      <c r="L176" s="16">
        <f t="shared" si="93"/>
        <v>0.42177621005331589</v>
      </c>
      <c r="M176" s="14">
        <v>1.0301138707197743</v>
      </c>
      <c r="N176" s="16">
        <f t="shared" si="94"/>
        <v>0.14360416774800241</v>
      </c>
      <c r="O176" s="14">
        <v>1.5</v>
      </c>
      <c r="P176" s="17">
        <v>-6.0000000000000053E-2</v>
      </c>
      <c r="Q176" s="14">
        <v>26577</v>
      </c>
      <c r="R176" s="14">
        <f>[1]Feuil1!J210/panel_choc_taux_suisse_2014_202!Q176</f>
        <v>26746.402536654503</v>
      </c>
      <c r="S176" s="14">
        <v>43.5</v>
      </c>
      <c r="T176" s="17">
        <f t="shared" si="87"/>
        <v>-0.49441725506513401</v>
      </c>
      <c r="U176" s="17">
        <f t="shared" si="88"/>
        <v>0.28083074818564002</v>
      </c>
      <c r="V176" s="14">
        <v>77309.784839999993</v>
      </c>
      <c r="W176" s="16">
        <f t="shared" si="95"/>
        <v>-0.6403031294821564</v>
      </c>
      <c r="X176" s="14">
        <f t="shared" si="89"/>
        <v>11.255575809229546</v>
      </c>
      <c r="Y176" s="14">
        <v>2.2000000000000002</v>
      </c>
      <c r="Z176" s="16">
        <f t="shared" si="96"/>
        <v>-0.28724090292959131</v>
      </c>
      <c r="AA176" s="14">
        <f t="shared" si="97"/>
        <v>0.78845736036427028</v>
      </c>
      <c r="AB176" s="14">
        <v>53435</v>
      </c>
      <c r="AC176" s="17">
        <v>1436</v>
      </c>
      <c r="AD176" s="14">
        <f t="shared" si="90"/>
        <v>5.2563379869250424E-3</v>
      </c>
      <c r="AE176" s="14">
        <f t="shared" si="91"/>
        <v>-0.10679325343974699</v>
      </c>
      <c r="AF176" s="14">
        <f t="shared" si="98"/>
        <v>6.4075952063848253E-3</v>
      </c>
      <c r="AG176" s="14">
        <f t="shared" si="99"/>
        <v>6.3871538417465843E-3</v>
      </c>
      <c r="AH176" s="14">
        <f t="shared" si="100"/>
        <v>7.1423088697969539E-2</v>
      </c>
      <c r="AI176" s="14">
        <f t="shared" si="117"/>
        <v>3.3388156306159544E-2</v>
      </c>
      <c r="AJ176" s="14">
        <f t="shared" si="118"/>
        <v>5.7784573612098128E-2</v>
      </c>
      <c r="AK176" s="14">
        <f t="shared" si="119"/>
        <v>-0.5</v>
      </c>
      <c r="AL176" s="14">
        <f t="shared" si="120"/>
        <v>4.9875415731275297E-3</v>
      </c>
    </row>
    <row r="177" spans="1:38" ht="17.25" customHeight="1" x14ac:dyDescent="0.2">
      <c r="A177" s="19" t="s">
        <v>8</v>
      </c>
      <c r="B177" s="19">
        <v>2019</v>
      </c>
      <c r="C177" s="14">
        <v>1</v>
      </c>
      <c r="D177" s="14">
        <v>0</v>
      </c>
      <c r="E177" s="14">
        <v>0</v>
      </c>
      <c r="F177" s="14">
        <v>1150.67</v>
      </c>
      <c r="G177" s="16">
        <f t="shared" si="92"/>
        <v>-0.62491961310999244</v>
      </c>
      <c r="H177" s="14">
        <f t="shared" si="85"/>
        <v>7.048099660402392</v>
      </c>
      <c r="I177" s="17">
        <v>275247</v>
      </c>
      <c r="J177" s="15">
        <v>445</v>
      </c>
      <c r="K177" s="14">
        <f t="shared" si="86"/>
        <v>0.16167297009595016</v>
      </c>
      <c r="L177" s="16">
        <f t="shared" si="93"/>
        <v>0.54372722598402745</v>
      </c>
      <c r="M177" s="14">
        <v>1.036888899675622</v>
      </c>
      <c r="N177" s="16">
        <f t="shared" si="94"/>
        <v>0.42644191258817377</v>
      </c>
      <c r="O177" s="14">
        <v>1.43</v>
      </c>
      <c r="P177" s="17">
        <v>-7.0000000000000062E-2</v>
      </c>
      <c r="Q177" s="14">
        <v>26162</v>
      </c>
      <c r="R177" s="14">
        <f>[1]Feuil1!J211/panel_choc_taux_suisse_2014_202!Q177</f>
        <v>27909.4393866422</v>
      </c>
      <c r="S177" s="14">
        <v>44.3</v>
      </c>
      <c r="T177" s="17">
        <f t="shared" si="87"/>
        <v>-0.47485904582322669</v>
      </c>
      <c r="U177" s="17">
        <f t="shared" si="88"/>
        <v>0.36160065363726174</v>
      </c>
      <c r="V177" s="14">
        <v>78006</v>
      </c>
      <c r="W177" s="16">
        <f t="shared" si="95"/>
        <v>-0.60080258130318676</v>
      </c>
      <c r="X177" s="14">
        <f t="shared" si="89"/>
        <v>11.264541025790225</v>
      </c>
      <c r="Y177" s="14">
        <v>1.9</v>
      </c>
      <c r="Z177" s="16">
        <f t="shared" si="96"/>
        <v>-0.54565832425033156</v>
      </c>
      <c r="AA177" s="14">
        <f t="shared" si="97"/>
        <v>0.64185388617239469</v>
      </c>
      <c r="AB177" s="14">
        <v>54680</v>
      </c>
      <c r="AC177" s="17">
        <v>1607</v>
      </c>
      <c r="AD177" s="14">
        <f t="shared" si="90"/>
        <v>5.8383924257121786E-3</v>
      </c>
      <c r="AE177" s="14">
        <f t="shared" si="91"/>
        <v>-5.6629196092982476E-2</v>
      </c>
      <c r="AF177" s="14">
        <f t="shared" si="98"/>
        <v>3.9640437265087772E-3</v>
      </c>
      <c r="AG177" s="14">
        <f t="shared" si="99"/>
        <v>3.9562076068302282E-3</v>
      </c>
      <c r="AH177" s="14">
        <f t="shared" si="100"/>
        <v>4.6294501497944743E-2</v>
      </c>
      <c r="AI177" s="14">
        <f t="shared" si="117"/>
        <v>1.2100694101416565E-2</v>
      </c>
      <c r="AJ177" s="14">
        <f t="shared" si="118"/>
        <v>3.9415526667470765E-2</v>
      </c>
      <c r="AK177" s="14">
        <f t="shared" si="119"/>
        <v>-0.30000000000000027</v>
      </c>
      <c r="AL177" s="14">
        <f t="shared" si="120"/>
        <v>8.9652165606786127E-3</v>
      </c>
    </row>
    <row r="178" spans="1:38" ht="17.25" customHeight="1" x14ac:dyDescent="0.2">
      <c r="A178" s="19" t="s">
        <v>8</v>
      </c>
      <c r="B178" s="19">
        <v>2020</v>
      </c>
      <c r="C178" s="14">
        <v>1</v>
      </c>
      <c r="D178" s="14">
        <v>0</v>
      </c>
      <c r="E178" s="14">
        <v>0</v>
      </c>
      <c r="F178" s="14">
        <v>1174.17</v>
      </c>
      <c r="G178" s="16">
        <f t="shared" si="92"/>
        <v>-0.50579717720877249</v>
      </c>
      <c r="H178" s="14">
        <f t="shared" si="85"/>
        <v>7.0683167939935281</v>
      </c>
      <c r="I178" s="17">
        <v>277462</v>
      </c>
      <c r="J178" s="15">
        <v>707</v>
      </c>
      <c r="K178" s="14">
        <f t="shared" si="86"/>
        <v>0.254809667630162</v>
      </c>
      <c r="L178" s="16">
        <f t="shared" si="93"/>
        <v>0.83189069467369658</v>
      </c>
      <c r="M178" s="14">
        <v>1.0413346451454319</v>
      </c>
      <c r="N178" s="16">
        <f t="shared" si="94"/>
        <v>0.61203884966534006</v>
      </c>
      <c r="O178" s="14">
        <v>1.33</v>
      </c>
      <c r="P178" s="17">
        <v>-9.9999999999999867E-2</v>
      </c>
      <c r="Q178" s="14">
        <v>26140</v>
      </c>
      <c r="R178" s="14">
        <f>[1]Feuil1!J212/panel_choc_taux_suisse_2014_202!Q178</f>
        <v>28669.348401874522</v>
      </c>
      <c r="S178" s="14">
        <v>44.3</v>
      </c>
      <c r="T178" s="17">
        <f t="shared" si="87"/>
        <v>-0.46208003583323137</v>
      </c>
      <c r="U178" s="17">
        <f t="shared" si="88"/>
        <v>0.36160065363726174</v>
      </c>
      <c r="V178" s="14">
        <v>78629.617480000001</v>
      </c>
      <c r="W178" s="16">
        <f t="shared" si="95"/>
        <v>-0.56542094394558096</v>
      </c>
      <c r="X178" s="14">
        <f t="shared" si="89"/>
        <v>11.27250372016386</v>
      </c>
      <c r="Y178" s="14">
        <v>2.9</v>
      </c>
      <c r="Z178" s="16">
        <f t="shared" si="96"/>
        <v>0.3157330801521353</v>
      </c>
      <c r="AA178" s="14">
        <f t="shared" si="97"/>
        <v>1.0647107369924282</v>
      </c>
      <c r="AB178" s="14">
        <v>55637</v>
      </c>
      <c r="AC178" s="17">
        <v>1640</v>
      </c>
      <c r="AD178" s="14">
        <f t="shared" si="90"/>
        <v>5.9107193057067273E-3</v>
      </c>
      <c r="AE178" s="14">
        <f t="shared" si="91"/>
        <v>-5.0239691097984818E-2</v>
      </c>
      <c r="AF178" s="14">
        <f t="shared" si="98"/>
        <v>5.0239691097984747E-3</v>
      </c>
      <c r="AG178" s="14">
        <f t="shared" si="99"/>
        <v>5.0113910871316027E-3</v>
      </c>
      <c r="AH178" s="14">
        <f t="shared" si="100"/>
        <v>5.7194385391885018E-2</v>
      </c>
      <c r="AI178" s="14">
        <f t="shared" si="117"/>
        <v>2.0217133591136083E-2</v>
      </c>
      <c r="AJ178" s="14">
        <f t="shared" si="118"/>
        <v>9.3136697534211832E-2</v>
      </c>
      <c r="AK178" s="14">
        <f t="shared" si="119"/>
        <v>1</v>
      </c>
      <c r="AL178" s="14">
        <f t="shared" si="120"/>
        <v>7.9626943736350597E-3</v>
      </c>
    </row>
    <row r="179" spans="1:38" ht="17.25" customHeight="1" x14ac:dyDescent="0.2">
      <c r="A179" s="19" t="s">
        <v>8</v>
      </c>
      <c r="B179" s="19">
        <v>2021</v>
      </c>
      <c r="C179" s="14">
        <v>1</v>
      </c>
      <c r="D179" s="14">
        <v>0</v>
      </c>
      <c r="E179" s="14">
        <v>0</v>
      </c>
      <c r="F179" s="14">
        <v>1183.83</v>
      </c>
      <c r="G179" s="16">
        <f t="shared" si="92"/>
        <v>-0.4568302524936334</v>
      </c>
      <c r="H179" s="14">
        <f t="shared" si="85"/>
        <v>7.07651022405412</v>
      </c>
      <c r="I179" s="17">
        <v>280245</v>
      </c>
      <c r="J179" s="15">
        <v>1027</v>
      </c>
      <c r="K179" s="14">
        <f t="shared" si="86"/>
        <v>0.36646505736052382</v>
      </c>
      <c r="L179" s="16">
        <f t="shared" si="93"/>
        <v>1.1773507040408862</v>
      </c>
      <c r="M179" s="14">
        <v>1.0457435779736526</v>
      </c>
      <c r="N179" s="16">
        <f t="shared" si="94"/>
        <v>0.79609896607405228</v>
      </c>
      <c r="O179" s="14">
        <v>1.25</v>
      </c>
      <c r="P179" s="17">
        <v>-8.0000000000000071E-2</v>
      </c>
      <c r="Q179" s="14">
        <v>26833</v>
      </c>
      <c r="R179" s="14">
        <f>[1]Feuil1!J213/panel_choc_taux_suisse_2014_202!Q179</f>
        <v>28813.39343532217</v>
      </c>
      <c r="S179" s="14">
        <v>44.3</v>
      </c>
      <c r="T179" s="17">
        <f t="shared" si="87"/>
        <v>-0.45965770252155991</v>
      </c>
      <c r="U179" s="17">
        <f t="shared" si="88"/>
        <v>0.36160065363726174</v>
      </c>
      <c r="V179" s="14">
        <v>78472.358250000005</v>
      </c>
      <c r="W179" s="16">
        <f t="shared" si="95"/>
        <v>-0.57434322278708516</v>
      </c>
      <c r="X179" s="14">
        <f t="shared" si="89"/>
        <v>11.270501717556394</v>
      </c>
      <c r="Y179" s="14">
        <v>2.9</v>
      </c>
      <c r="Z179" s="16">
        <f t="shared" si="96"/>
        <v>0.3157330801521353</v>
      </c>
      <c r="AA179" s="14">
        <f t="shared" si="97"/>
        <v>1.0647107369924282</v>
      </c>
      <c r="AB179" s="14">
        <v>57210</v>
      </c>
      <c r="AC179" s="17">
        <v>1279</v>
      </c>
      <c r="AD179" s="14">
        <f t="shared" si="90"/>
        <v>4.5638637620653358E-3</v>
      </c>
      <c r="AE179" s="14">
        <f t="shared" si="91"/>
        <v>-4.9028524442149085E-2</v>
      </c>
      <c r="AF179" s="14">
        <f t="shared" si="98"/>
        <v>3.9222819553719306E-3</v>
      </c>
      <c r="AG179" s="14">
        <f t="shared" si="99"/>
        <v>3.9146098623676429E-3</v>
      </c>
      <c r="AH179" s="14">
        <f t="shared" si="100"/>
        <v>4.5865038760497953E-2</v>
      </c>
      <c r="AI179" s="14">
        <f t="shared" si="117"/>
        <v>8.1934300605919219E-3</v>
      </c>
      <c r="AJ179" s="14">
        <f t="shared" si="118"/>
        <v>0.11165538973036182</v>
      </c>
      <c r="AK179" s="14">
        <f t="shared" si="119"/>
        <v>0</v>
      </c>
      <c r="AL179" s="14">
        <f t="shared" si="120"/>
        <v>-2.002002607465414E-3</v>
      </c>
    </row>
    <row r="180" spans="1:38" ht="17.25" customHeight="1" x14ac:dyDescent="0.2">
      <c r="A180" s="19" t="s">
        <v>8</v>
      </c>
      <c r="B180" s="19">
        <v>2022</v>
      </c>
      <c r="C180" s="14">
        <v>1</v>
      </c>
      <c r="D180" s="14">
        <v>0</v>
      </c>
      <c r="E180" s="14">
        <v>0</v>
      </c>
      <c r="F180" s="14">
        <v>1200.67</v>
      </c>
      <c r="G180" s="16">
        <f t="shared" si="92"/>
        <v>-0.37146762183080101</v>
      </c>
      <c r="H180" s="14">
        <f t="shared" si="85"/>
        <v>7.0906350132993632</v>
      </c>
      <c r="I180" s="17">
        <v>282408</v>
      </c>
      <c r="J180" s="15">
        <v>757</v>
      </c>
      <c r="K180" s="14">
        <f t="shared" si="86"/>
        <v>0.26805189654684003</v>
      </c>
      <c r="L180" s="16">
        <f t="shared" si="93"/>
        <v>0.87286194144150131</v>
      </c>
      <c r="M180" s="14">
        <v>0.98600652141555722</v>
      </c>
      <c r="N180" s="16">
        <f t="shared" si="94"/>
        <v>-1.6977493215702677</v>
      </c>
      <c r="O180" s="14">
        <v>1.21</v>
      </c>
      <c r="P180" s="17">
        <v>-4.0000000000000036E-2</v>
      </c>
      <c r="Q180" s="14">
        <v>26320</v>
      </c>
      <c r="R180" s="14">
        <f>[1]Feuil1!J214/panel_choc_taux_suisse_2014_202!Q180</f>
        <v>30248.195192502535</v>
      </c>
      <c r="S180" s="14">
        <v>43.1</v>
      </c>
      <c r="T180" s="17">
        <f t="shared" si="87"/>
        <v>-0.4355293587052082</v>
      </c>
      <c r="U180" s="17">
        <f t="shared" si="88"/>
        <v>0.24044579545982919</v>
      </c>
      <c r="V180" s="14">
        <v>79178.609469999996</v>
      </c>
      <c r="W180" s="16">
        <f t="shared" si="95"/>
        <v>-0.53427326748466752</v>
      </c>
      <c r="X180" s="14">
        <f t="shared" si="89"/>
        <v>11.27946145887419</v>
      </c>
      <c r="Y180" s="14">
        <v>2.2000000000000002</v>
      </c>
      <c r="Z180" s="16">
        <f t="shared" si="96"/>
        <v>-0.28724090292959131</v>
      </c>
      <c r="AA180" s="14">
        <f t="shared" si="97"/>
        <v>0.78845736036427028</v>
      </c>
      <c r="AB180" s="14">
        <v>58461</v>
      </c>
      <c r="AC180" s="17">
        <v>1104</v>
      </c>
      <c r="AD180" s="14">
        <f t="shared" si="90"/>
        <v>3.9092376986487633E-3</v>
      </c>
      <c r="AE180" s="14">
        <f t="shared" si="91"/>
        <v>-9.7541781622689505E-2</v>
      </c>
      <c r="AF180" s="14">
        <f t="shared" si="98"/>
        <v>3.9016712649075835E-3</v>
      </c>
      <c r="AG180" s="14">
        <f t="shared" si="99"/>
        <v>3.8940794862537455E-3</v>
      </c>
      <c r="AH180" s="14">
        <f t="shared" si="100"/>
        <v>4.5653085979125679E-2</v>
      </c>
      <c r="AI180" s="14">
        <f t="shared" si="117"/>
        <v>1.4124789245243186E-2</v>
      </c>
      <c r="AJ180" s="14">
        <f t="shared" si="118"/>
        <v>-9.8413160813683787E-2</v>
      </c>
      <c r="AK180" s="14">
        <f t="shared" si="119"/>
        <v>-0.69999999999999973</v>
      </c>
      <c r="AL180" s="14">
        <f t="shared" si="120"/>
        <v>8.9597413177955332E-3</v>
      </c>
    </row>
    <row r="181" spans="1:38" ht="17.25" customHeight="1" x14ac:dyDescent="0.2">
      <c r="A181" s="19" t="s">
        <v>8</v>
      </c>
      <c r="B181" s="19">
        <v>2023</v>
      </c>
      <c r="C181" s="14">
        <v>1</v>
      </c>
      <c r="D181" s="14">
        <v>0</v>
      </c>
      <c r="E181" s="14">
        <v>0</v>
      </c>
      <c r="F181" s="14">
        <v>1347.57</v>
      </c>
      <c r="G181" s="16">
        <f t="shared" si="92"/>
        <v>0.37317432854746257</v>
      </c>
      <c r="H181" s="14">
        <f t="shared" si="85"/>
        <v>7.2060582494858467</v>
      </c>
      <c r="I181" s="17">
        <v>286844</v>
      </c>
      <c r="J181" s="15">
        <v>804</v>
      </c>
      <c r="K181" s="14">
        <f t="shared" si="86"/>
        <v>0.28029172651336615</v>
      </c>
      <c r="L181" s="16">
        <f t="shared" si="93"/>
        <v>0.91073178171611846</v>
      </c>
      <c r="M181" s="14">
        <v>1.0341430614279774</v>
      </c>
      <c r="N181" s="16">
        <f t="shared" si="94"/>
        <v>0.31181115562449047</v>
      </c>
      <c r="O181" s="14">
        <v>1.48</v>
      </c>
      <c r="P181" s="17">
        <v>0.27</v>
      </c>
      <c r="Q181" s="14">
        <v>26696</v>
      </c>
      <c r="R181" s="14">
        <f>[1]Feuil1!J215/panel_choc_taux_suisse_2014_202!Q181</f>
        <v>30457.309768941665</v>
      </c>
      <c r="S181" s="14">
        <v>43.9</v>
      </c>
      <c r="T181" s="17">
        <f t="shared" si="87"/>
        <v>-0.4320127834207943</v>
      </c>
      <c r="U181" s="17">
        <f t="shared" si="88"/>
        <v>0.32121570091145085</v>
      </c>
      <c r="V181" s="14">
        <v>92638.973079999996</v>
      </c>
      <c r="W181" s="16">
        <f t="shared" si="95"/>
        <v>0.22941556296718635</v>
      </c>
      <c r="X181" s="14">
        <f t="shared" si="89"/>
        <v>11.436465207684932</v>
      </c>
      <c r="Y181" s="14">
        <v>2</v>
      </c>
      <c r="Z181" s="16">
        <f t="shared" si="96"/>
        <v>-0.45951918381008483</v>
      </c>
      <c r="AA181" s="14">
        <f t="shared" si="97"/>
        <v>0.69314718055994529</v>
      </c>
      <c r="AB181" s="14">
        <v>60059</v>
      </c>
      <c r="AC181" s="17">
        <v>893</v>
      </c>
      <c r="AD181" s="14">
        <f t="shared" si="90"/>
        <v>3.1131904449805468E-3</v>
      </c>
      <c r="AE181" s="14">
        <f t="shared" si="91"/>
        <v>-5.5398541254671724E-2</v>
      </c>
      <c r="AF181" s="14">
        <f t="shared" si="98"/>
        <v>-1.4957606138761367E-2</v>
      </c>
      <c r="AG181" s="14">
        <f t="shared" si="99"/>
        <v>-1.5070599283184747E-2</v>
      </c>
      <c r="AH181" s="14">
        <f t="shared" si="100"/>
        <v>-0.1482888058412144</v>
      </c>
      <c r="AI181" s="14">
        <f t="shared" si="117"/>
        <v>0.11542323618648354</v>
      </c>
      <c r="AJ181" s="14">
        <f t="shared" si="118"/>
        <v>1.2239829966526117E-2</v>
      </c>
      <c r="AK181" s="14">
        <f t="shared" si="119"/>
        <v>-0.20000000000000018</v>
      </c>
      <c r="AL181" s="14">
        <f t="shared" si="120"/>
        <v>0.15700374881074275</v>
      </c>
    </row>
    <row r="182" spans="1:38" ht="17.25" customHeight="1" x14ac:dyDescent="0.2">
      <c r="A182" s="19" t="s">
        <v>7</v>
      </c>
      <c r="B182" s="19">
        <v>2014</v>
      </c>
      <c r="C182" s="14">
        <v>0</v>
      </c>
      <c r="D182" s="14">
        <v>1</v>
      </c>
      <c r="E182" s="14">
        <v>0</v>
      </c>
      <c r="F182" s="14">
        <v>1457.83</v>
      </c>
      <c r="G182" s="16">
        <f t="shared" si="92"/>
        <v>0.93208665971633531</v>
      </c>
      <c r="H182" s="14">
        <f t="shared" si="85"/>
        <v>7.2847043076909577</v>
      </c>
      <c r="I182" s="17">
        <v>152759</v>
      </c>
      <c r="J182" s="15">
        <v>301</v>
      </c>
      <c r="K182" s="14">
        <f t="shared" si="86"/>
        <v>0.19704240012045118</v>
      </c>
      <c r="L182" s="16">
        <f t="shared" si="93"/>
        <v>0.65315968291318638</v>
      </c>
      <c r="M182" s="14">
        <v>1.0281149308624065</v>
      </c>
      <c r="N182" s="16">
        <f t="shared" si="94"/>
        <v>6.0154245243822686E-2</v>
      </c>
      <c r="O182" s="14">
        <v>1.95</v>
      </c>
      <c r="P182" s="17">
        <v>0</v>
      </c>
      <c r="Q182" s="14">
        <v>100307</v>
      </c>
      <c r="R182" s="14">
        <f>[1]Feuil1!J216/panel_choc_taux_suisse_2014_202!Q182</f>
        <v>6328.6942420103624</v>
      </c>
      <c r="S182" s="14">
        <v>48.9</v>
      </c>
      <c r="T182" s="17">
        <f t="shared" si="87"/>
        <v>-0.83777164755158062</v>
      </c>
      <c r="U182" s="17">
        <f t="shared" si="88"/>
        <v>0.8260276099840882</v>
      </c>
      <c r="V182" s="14">
        <v>120403.6314</v>
      </c>
      <c r="W182" s="16">
        <f t="shared" si="95"/>
        <v>1.8046746016267026</v>
      </c>
      <c r="X182" s="14">
        <f t="shared" si="89"/>
        <v>11.698604972531587</v>
      </c>
      <c r="Y182" s="14">
        <v>1.5</v>
      </c>
      <c r="Z182" s="16">
        <f t="shared" si="96"/>
        <v>-0.89021488601131826</v>
      </c>
      <c r="AA182" s="14">
        <f t="shared" si="97"/>
        <v>0.40546510810816438</v>
      </c>
      <c r="AB182" s="14">
        <v>24308</v>
      </c>
      <c r="AC182" s="17">
        <v>1108</v>
      </c>
      <c r="AD182" s="14">
        <f t="shared" si="90"/>
        <v>7.2532551273574719E-3</v>
      </c>
      <c r="AE182" s="14">
        <f t="shared" si="91"/>
        <v>-5.8720187837462134E-3</v>
      </c>
      <c r="AF182" s="14">
        <f t="shared" si="98"/>
        <v>0</v>
      </c>
      <c r="AG182" s="14">
        <f t="shared" si="99"/>
        <v>0</v>
      </c>
      <c r="AH182" s="14">
        <f t="shared" si="100"/>
        <v>5.5297297030243815E-3</v>
      </c>
      <c r="AI182" s="14">
        <v>0</v>
      </c>
      <c r="AJ182" s="14">
        <v>0</v>
      </c>
      <c r="AK182" s="14">
        <v>0</v>
      </c>
      <c r="AL182" s="14">
        <v>0</v>
      </c>
    </row>
    <row r="183" spans="1:38" ht="17.25" customHeight="1" x14ac:dyDescent="0.2">
      <c r="A183" s="19" t="s">
        <v>7</v>
      </c>
      <c r="B183" s="19">
        <v>2015</v>
      </c>
      <c r="C183" s="14">
        <v>0</v>
      </c>
      <c r="D183" s="14">
        <v>1</v>
      </c>
      <c r="E183" s="14">
        <v>0</v>
      </c>
      <c r="F183" s="14">
        <v>1412.83</v>
      </c>
      <c r="G183" s="16">
        <f t="shared" si="92"/>
        <v>0.70397986756506314</v>
      </c>
      <c r="H183" s="14">
        <f t="shared" si="85"/>
        <v>7.2533500640523343</v>
      </c>
      <c r="I183" s="17">
        <v>154093</v>
      </c>
      <c r="J183" s="15">
        <v>229</v>
      </c>
      <c r="K183" s="14">
        <f t="shared" si="86"/>
        <v>0.14861155276359081</v>
      </c>
      <c r="L183" s="16">
        <f t="shared" si="93"/>
        <v>0.50331540739755165</v>
      </c>
      <c r="M183" s="14">
        <v>1.0174024043472965</v>
      </c>
      <c r="N183" s="16">
        <f t="shared" si="94"/>
        <v>-0.38706256531446542</v>
      </c>
      <c r="O183" s="14">
        <v>1.84</v>
      </c>
      <c r="P183" s="17">
        <v>-0.10999999999999988</v>
      </c>
      <c r="Q183" s="14">
        <v>105332</v>
      </c>
      <c r="R183" s="14">
        <f>[1]Feuil1!J217/panel_choc_taux_suisse_2014_202!Q183</f>
        <v>6228.7072058665299</v>
      </c>
      <c r="S183" s="14">
        <v>50.5</v>
      </c>
      <c r="T183" s="17">
        <f t="shared" si="87"/>
        <v>-0.8394530795495434</v>
      </c>
      <c r="U183" s="17">
        <f t="shared" si="88"/>
        <v>0.98756742088733229</v>
      </c>
      <c r="V183" s="14">
        <v>120885.24589999999</v>
      </c>
      <c r="W183" s="16">
        <f t="shared" si="95"/>
        <v>1.8319995406023779</v>
      </c>
      <c r="X183" s="14">
        <f t="shared" si="89"/>
        <v>11.702596993589355</v>
      </c>
      <c r="Y183" s="14">
        <v>1.6</v>
      </c>
      <c r="Z183" s="16">
        <f t="shared" si="96"/>
        <v>-0.80407574557107153</v>
      </c>
      <c r="AA183" s="14">
        <f t="shared" si="97"/>
        <v>0.47000362924573563</v>
      </c>
      <c r="AB183" s="14">
        <v>25115</v>
      </c>
      <c r="AC183" s="17">
        <v>1096</v>
      </c>
      <c r="AD183" s="14">
        <f t="shared" si="90"/>
        <v>7.1125878527901979E-3</v>
      </c>
      <c r="AE183" s="14">
        <f t="shared" si="91"/>
        <v>7.4057170668894445E-2</v>
      </c>
      <c r="AF183" s="14">
        <f t="shared" si="98"/>
        <v>-8.14628877357838E-3</v>
      </c>
      <c r="AG183" s="14">
        <f t="shared" si="99"/>
        <v>-8.179651093568217E-3</v>
      </c>
      <c r="AH183" s="14">
        <f t="shared" si="100"/>
        <v>-7.8243716237975894E-2</v>
      </c>
      <c r="AI183" s="14">
        <f t="shared" ref="AI183:AI191" si="121">LN(F183)-LN(F182)</f>
        <v>-3.135424363862338E-2</v>
      </c>
      <c r="AJ183" s="14">
        <f t="shared" ref="AJ183:AJ191" si="122">K183-K182</f>
        <v>-4.8430847356860374E-2</v>
      </c>
      <c r="AK183" s="14">
        <f t="shared" ref="AK183:AK191" si="123">Y183-Y182</f>
        <v>0.10000000000000009</v>
      </c>
      <c r="AL183" s="14">
        <f t="shared" ref="AL183:AL191" si="124">LN(V183)-LN(V182)</f>
        <v>3.9920210577673032E-3</v>
      </c>
    </row>
    <row r="184" spans="1:38" ht="17.25" customHeight="1" x14ac:dyDescent="0.2">
      <c r="A184" s="19" t="s">
        <v>7</v>
      </c>
      <c r="B184" s="19">
        <v>2016</v>
      </c>
      <c r="C184" s="14">
        <v>0</v>
      </c>
      <c r="D184" s="14">
        <v>1</v>
      </c>
      <c r="E184" s="14">
        <v>0</v>
      </c>
      <c r="F184" s="14">
        <v>1461</v>
      </c>
      <c r="G184" s="16">
        <f t="shared" si="92"/>
        <v>0.9481555159634365</v>
      </c>
      <c r="H184" s="14">
        <f t="shared" si="85"/>
        <v>7.2868764117506997</v>
      </c>
      <c r="I184" s="17">
        <v>155863</v>
      </c>
      <c r="J184" s="15">
        <v>331</v>
      </c>
      <c r="K184" s="14">
        <f t="shared" si="86"/>
        <v>0.21236598807927473</v>
      </c>
      <c r="L184" s="16">
        <f t="shared" si="93"/>
        <v>0.7005706216289791</v>
      </c>
      <c r="M184" s="14">
        <v>0.98347652295718835</v>
      </c>
      <c r="N184" s="16">
        <f t="shared" si="94"/>
        <v>-1.8033693953850858</v>
      </c>
      <c r="O184" s="14">
        <v>1.71</v>
      </c>
      <c r="P184" s="17">
        <v>-0.13000000000000012</v>
      </c>
      <c r="Q184" s="14">
        <v>104155</v>
      </c>
      <c r="R184" s="14">
        <f>[1]Feuil1!J218/panel_choc_taux_suisse_2014_202!Q184</f>
        <v>6486.3241411038034</v>
      </c>
      <c r="S184" s="14">
        <v>49.6</v>
      </c>
      <c r="T184" s="17">
        <f t="shared" si="87"/>
        <v>-0.83512086434614485</v>
      </c>
      <c r="U184" s="17">
        <f t="shared" si="88"/>
        <v>0.89670127725425763</v>
      </c>
      <c r="V184" s="14">
        <v>121731.4427</v>
      </c>
      <c r="W184" s="16">
        <f t="shared" si="95"/>
        <v>1.8800094653895514</v>
      </c>
      <c r="X184" s="14">
        <f t="shared" si="89"/>
        <v>11.709572607972285</v>
      </c>
      <c r="Y184" s="14">
        <v>1.8</v>
      </c>
      <c r="Z184" s="16">
        <f t="shared" si="96"/>
        <v>-0.63179746469057818</v>
      </c>
      <c r="AA184" s="14">
        <f t="shared" si="97"/>
        <v>0.58778666490211906</v>
      </c>
      <c r="AB184" s="14">
        <v>25929</v>
      </c>
      <c r="AC184" s="17">
        <v>1402</v>
      </c>
      <c r="AD184" s="14">
        <f t="shared" si="90"/>
        <v>8.9950790116961696E-3</v>
      </c>
      <c r="AE184" s="14">
        <f t="shared" si="91"/>
        <v>3.079020645405639E-2</v>
      </c>
      <c r="AF184" s="14">
        <f t="shared" si="98"/>
        <v>-4.0027268390273344E-3</v>
      </c>
      <c r="AG184" s="14">
        <f t="shared" si="99"/>
        <v>-4.0107591914746851E-3</v>
      </c>
      <c r="AH184" s="14">
        <f t="shared" si="100"/>
        <v>-3.5632845033268939E-2</v>
      </c>
      <c r="AI184" s="14">
        <f t="shared" si="121"/>
        <v>3.3526347698365377E-2</v>
      </c>
      <c r="AJ184" s="14">
        <f t="shared" si="122"/>
        <v>6.3754435315683922E-2</v>
      </c>
      <c r="AK184" s="14">
        <f t="shared" si="123"/>
        <v>0.19999999999999996</v>
      </c>
      <c r="AL184" s="14">
        <f t="shared" si="124"/>
        <v>6.9756143829309281E-3</v>
      </c>
    </row>
    <row r="185" spans="1:38" ht="17.25" customHeight="1" x14ac:dyDescent="0.2">
      <c r="A185" s="19" t="s">
        <v>7</v>
      </c>
      <c r="B185" s="19">
        <v>2017</v>
      </c>
      <c r="C185" s="14">
        <v>0</v>
      </c>
      <c r="D185" s="14">
        <v>1</v>
      </c>
      <c r="E185" s="14">
        <v>0</v>
      </c>
      <c r="F185" s="14">
        <v>1442.33</v>
      </c>
      <c r="G185" s="16">
        <f t="shared" si="92"/>
        <v>0.85351654241978603</v>
      </c>
      <c r="H185" s="14">
        <f t="shared" si="85"/>
        <v>7.2740151404840789</v>
      </c>
      <c r="I185" s="17">
        <v>157301</v>
      </c>
      <c r="J185" s="15">
        <v>221</v>
      </c>
      <c r="K185" s="14">
        <f t="shared" si="86"/>
        <v>0.1404949746028315</v>
      </c>
      <c r="L185" s="16">
        <f t="shared" si="93"/>
        <v>0.47820284297753801</v>
      </c>
      <c r="M185" s="14">
        <v>1.0635156673797794</v>
      </c>
      <c r="N185" s="16">
        <f t="shared" si="94"/>
        <v>1.5380319853253162</v>
      </c>
      <c r="O185" s="14">
        <v>1.56</v>
      </c>
      <c r="P185" s="17">
        <v>-0.14999999999999991</v>
      </c>
      <c r="Q185" s="14">
        <v>103516</v>
      </c>
      <c r="R185" s="14">
        <f>[1]Feuil1!J219/panel_choc_taux_suisse_2014_202!Q185</f>
        <v>6688.555481922278</v>
      </c>
      <c r="S185" s="14">
        <v>49.1</v>
      </c>
      <c r="T185" s="17">
        <f t="shared" si="87"/>
        <v>-0.83172004099386587</v>
      </c>
      <c r="U185" s="17">
        <f t="shared" si="88"/>
        <v>0.84622008634699397</v>
      </c>
      <c r="V185" s="14">
        <v>122218.36840000001</v>
      </c>
      <c r="W185" s="16">
        <f t="shared" si="95"/>
        <v>1.907635741255806</v>
      </c>
      <c r="X185" s="14">
        <f t="shared" si="89"/>
        <v>11.713564628662532</v>
      </c>
      <c r="Y185" s="14">
        <v>1.7</v>
      </c>
      <c r="Z185" s="16">
        <f t="shared" si="96"/>
        <v>-0.71793660513082491</v>
      </c>
      <c r="AA185" s="14">
        <f t="shared" si="97"/>
        <v>0.53062825106217038</v>
      </c>
      <c r="AB185" s="14">
        <v>27445</v>
      </c>
      <c r="AC185" s="17">
        <v>1301</v>
      </c>
      <c r="AD185" s="14">
        <f t="shared" si="90"/>
        <v>8.2707675094246067E-3</v>
      </c>
      <c r="AE185" s="14">
        <f t="shared" si="91"/>
        <v>7.2500226765640496E-3</v>
      </c>
      <c r="AF185" s="14">
        <f t="shared" si="98"/>
        <v>-1.0875034014846067E-3</v>
      </c>
      <c r="AG185" s="14">
        <f t="shared" si="99"/>
        <v>-1.088095162375569E-3</v>
      </c>
      <c r="AH185" s="14">
        <f t="shared" si="100"/>
        <v>-5.653756415269196E-3</v>
      </c>
      <c r="AI185" s="14">
        <f t="shared" si="121"/>
        <v>-1.2861271266620733E-2</v>
      </c>
      <c r="AJ185" s="14">
        <f t="shared" si="122"/>
        <v>-7.187101347644323E-2</v>
      </c>
      <c r="AK185" s="14">
        <f t="shared" si="123"/>
        <v>-0.10000000000000009</v>
      </c>
      <c r="AL185" s="14">
        <f t="shared" si="124"/>
        <v>3.9920206902461786E-3</v>
      </c>
    </row>
    <row r="186" spans="1:38" ht="17.25" customHeight="1" x14ac:dyDescent="0.2">
      <c r="A186" s="19" t="s">
        <v>7</v>
      </c>
      <c r="B186" s="19">
        <v>2018</v>
      </c>
      <c r="C186" s="14">
        <v>0</v>
      </c>
      <c r="D186" s="14">
        <v>1</v>
      </c>
      <c r="E186" s="14">
        <v>0</v>
      </c>
      <c r="F186" s="14">
        <v>1487.17</v>
      </c>
      <c r="G186" s="16">
        <f t="shared" si="92"/>
        <v>1.0808122881989657</v>
      </c>
      <c r="H186" s="14">
        <f t="shared" si="85"/>
        <v>7.3046302640682175</v>
      </c>
      <c r="I186" s="17">
        <v>159165</v>
      </c>
      <c r="J186" s="15">
        <v>535</v>
      </c>
      <c r="K186" s="14">
        <f t="shared" si="86"/>
        <v>0.33612917412747778</v>
      </c>
      <c r="L186" s="16">
        <f t="shared" si="93"/>
        <v>1.0834919612506102</v>
      </c>
      <c r="M186" s="14">
        <v>1.0301138707197743</v>
      </c>
      <c r="N186" s="16">
        <f t="shared" si="94"/>
        <v>0.14360416774800241</v>
      </c>
      <c r="O186" s="14">
        <v>1.5</v>
      </c>
      <c r="P186" s="17">
        <v>-6.0000000000000053E-2</v>
      </c>
      <c r="Q186" s="14">
        <v>101731</v>
      </c>
      <c r="R186" s="14">
        <f>[1]Feuil1!J220/panel_choc_taux_suisse_2014_202!Q186</f>
        <v>6987.4388359169443</v>
      </c>
      <c r="S186" s="14">
        <v>47.2</v>
      </c>
      <c r="T186" s="17">
        <f t="shared" si="87"/>
        <v>-0.8266938690575143</v>
      </c>
      <c r="U186" s="17">
        <f t="shared" si="88"/>
        <v>0.65439156089939188</v>
      </c>
      <c r="V186" s="14">
        <v>122829.46030000001</v>
      </c>
      <c r="W186" s="16">
        <f t="shared" si="95"/>
        <v>1.942306725779797</v>
      </c>
      <c r="X186" s="14">
        <f t="shared" si="89"/>
        <v>11.71855217064577</v>
      </c>
      <c r="Y186" s="14">
        <v>1.3</v>
      </c>
      <c r="Z186" s="16">
        <f t="shared" si="96"/>
        <v>-1.0624931668918116</v>
      </c>
      <c r="AA186" s="14">
        <f t="shared" si="97"/>
        <v>0.26236426446749106</v>
      </c>
      <c r="AB186" s="14">
        <v>28232</v>
      </c>
      <c r="AC186" s="17">
        <v>1248</v>
      </c>
      <c r="AD186" s="14">
        <f t="shared" si="90"/>
        <v>7.8409198002073327E-3</v>
      </c>
      <c r="AE186" s="14">
        <f t="shared" si="91"/>
        <v>-8.615115407906121E-2</v>
      </c>
      <c r="AF186" s="14">
        <f t="shared" si="98"/>
        <v>5.1690692447436768E-3</v>
      </c>
      <c r="AG186" s="14">
        <f t="shared" si="99"/>
        <v>5.1557554665009218E-3</v>
      </c>
      <c r="AH186" s="14">
        <f t="shared" si="100"/>
        <v>5.8686541961424872E-2</v>
      </c>
      <c r="AI186" s="14">
        <f t="shared" si="121"/>
        <v>3.0615123584138537E-2</v>
      </c>
      <c r="AJ186" s="14">
        <f t="shared" si="122"/>
        <v>0.19563419952464628</v>
      </c>
      <c r="AK186" s="14">
        <f t="shared" si="123"/>
        <v>-0.39999999999999991</v>
      </c>
      <c r="AL186" s="14">
        <f t="shared" si="124"/>
        <v>4.9875419832385859E-3</v>
      </c>
    </row>
    <row r="187" spans="1:38" ht="17.25" customHeight="1" x14ac:dyDescent="0.2">
      <c r="A187" s="19" t="s">
        <v>7</v>
      </c>
      <c r="B187" s="19">
        <v>2019</v>
      </c>
      <c r="C187" s="14">
        <v>0</v>
      </c>
      <c r="D187" s="14">
        <v>1</v>
      </c>
      <c r="E187" s="14">
        <v>0</v>
      </c>
      <c r="F187" s="14">
        <v>1458</v>
      </c>
      <c r="G187" s="16">
        <f t="shared" si="92"/>
        <v>0.93294839648668493</v>
      </c>
      <c r="H187" s="14">
        <f t="shared" si="85"/>
        <v>7.2848209125686036</v>
      </c>
      <c r="I187" s="17">
        <v>160480</v>
      </c>
      <c r="J187" s="15">
        <v>303</v>
      </c>
      <c r="K187" s="14">
        <f t="shared" si="86"/>
        <v>0.18880857427716849</v>
      </c>
      <c r="L187" s="16">
        <f t="shared" si="93"/>
        <v>0.62768435601837758</v>
      </c>
      <c r="M187" s="14">
        <v>1.036888899675622</v>
      </c>
      <c r="N187" s="16">
        <f t="shared" si="94"/>
        <v>0.42644191258817377</v>
      </c>
      <c r="O187" s="14">
        <v>1.43</v>
      </c>
      <c r="P187" s="17">
        <v>-7.0000000000000062E-2</v>
      </c>
      <c r="Q187" s="14">
        <v>101615</v>
      </c>
      <c r="R187" s="14">
        <f>[1]Feuil1!J221/panel_choc_taux_suisse_2014_202!Q187</f>
        <v>7185.6197729993919</v>
      </c>
      <c r="S187" s="14">
        <v>46.3</v>
      </c>
      <c r="T187" s="17">
        <f t="shared" si="87"/>
        <v>-0.82336115931985054</v>
      </c>
      <c r="U187" s="17">
        <f t="shared" si="88"/>
        <v>0.56352541726631666</v>
      </c>
      <c r="V187" s="14">
        <v>123935</v>
      </c>
      <c r="W187" s="16">
        <f t="shared" si="95"/>
        <v>2.0050307609525055</v>
      </c>
      <c r="X187" s="14">
        <f t="shared" si="89"/>
        <v>11.727512513601317</v>
      </c>
      <c r="Y187" s="14">
        <v>1.1000000000000001</v>
      </c>
      <c r="Z187" s="16">
        <f t="shared" si="96"/>
        <v>-1.2347714477723051</v>
      </c>
      <c r="AA187" s="14">
        <f t="shared" si="97"/>
        <v>9.5310179804324935E-2</v>
      </c>
      <c r="AB187" s="14">
        <v>29131</v>
      </c>
      <c r="AC187" s="17">
        <v>1058</v>
      </c>
      <c r="AD187" s="14">
        <f t="shared" si="90"/>
        <v>6.5927218344965103E-3</v>
      </c>
      <c r="AE187" s="14">
        <f t="shared" si="91"/>
        <v>-0.12991787102676694</v>
      </c>
      <c r="AF187" s="14">
        <f t="shared" si="98"/>
        <v>9.0942509718736943E-3</v>
      </c>
      <c r="AG187" s="14">
        <f t="shared" si="99"/>
        <v>9.0531472883628519E-3</v>
      </c>
      <c r="AH187" s="14">
        <f t="shared" si="100"/>
        <v>9.9051671208112119E-2</v>
      </c>
      <c r="AI187" s="14">
        <f t="shared" si="121"/>
        <v>-1.9809351499613825E-2</v>
      </c>
      <c r="AJ187" s="14">
        <f t="shared" si="122"/>
        <v>-0.14732059985030929</v>
      </c>
      <c r="AK187" s="14">
        <f t="shared" si="123"/>
        <v>-0.19999999999999996</v>
      </c>
      <c r="AL187" s="14">
        <f t="shared" si="124"/>
        <v>8.9603429555467073E-3</v>
      </c>
    </row>
    <row r="188" spans="1:38" ht="17.25" customHeight="1" x14ac:dyDescent="0.2">
      <c r="A188" s="19" t="s">
        <v>7</v>
      </c>
      <c r="B188" s="19">
        <v>2020</v>
      </c>
      <c r="C188" s="14">
        <v>0</v>
      </c>
      <c r="D188" s="14">
        <v>1</v>
      </c>
      <c r="E188" s="14">
        <v>0</v>
      </c>
      <c r="F188" s="14">
        <v>1475.33</v>
      </c>
      <c r="G188" s="16">
        <f t="shared" si="92"/>
        <v>1.0207948566640523</v>
      </c>
      <c r="H188" s="14">
        <f t="shared" si="85"/>
        <v>7.2966369725639204</v>
      </c>
      <c r="I188" s="17">
        <v>162157</v>
      </c>
      <c r="J188" s="15">
        <v>789</v>
      </c>
      <c r="K188" s="14">
        <f t="shared" si="86"/>
        <v>0.4865654890013999</v>
      </c>
      <c r="L188" s="16">
        <f t="shared" si="93"/>
        <v>1.5489395394733279</v>
      </c>
      <c r="M188" s="14">
        <v>1.0413346451454319</v>
      </c>
      <c r="N188" s="16">
        <f t="shared" si="94"/>
        <v>0.61203884966534006</v>
      </c>
      <c r="O188" s="14">
        <v>1.33</v>
      </c>
      <c r="P188" s="17">
        <v>-9.9999999999999867E-2</v>
      </c>
      <c r="Q188" s="14">
        <v>102725</v>
      </c>
      <c r="R188" s="14">
        <f>[1]Feuil1!J222/panel_choc_taux_suisse_2014_202!Q188</f>
        <v>7295.3688705281093</v>
      </c>
      <c r="S188" s="14">
        <v>46.6</v>
      </c>
      <c r="T188" s="17">
        <f t="shared" si="87"/>
        <v>-0.82151556361615485</v>
      </c>
      <c r="U188" s="17">
        <f t="shared" si="88"/>
        <v>0.59381413181067533</v>
      </c>
      <c r="V188" s="14">
        <v>124926.4048</v>
      </c>
      <c r="W188" s="16">
        <f t="shared" si="95"/>
        <v>2.0612792245269871</v>
      </c>
      <c r="X188" s="14">
        <f t="shared" si="89"/>
        <v>11.735480081296268</v>
      </c>
      <c r="Y188" s="14">
        <v>1.5</v>
      </c>
      <c r="Z188" s="16">
        <f t="shared" si="96"/>
        <v>-0.89021488601131826</v>
      </c>
      <c r="AA188" s="14">
        <f t="shared" si="97"/>
        <v>0.40546510810816438</v>
      </c>
      <c r="AB188" s="14">
        <v>29861</v>
      </c>
      <c r="AC188" s="17">
        <v>995</v>
      </c>
      <c r="AD188" s="14">
        <f t="shared" si="90"/>
        <v>6.1360286635791239E-3</v>
      </c>
      <c r="AE188" s="14">
        <f t="shared" si="91"/>
        <v>-0.11385071590273976</v>
      </c>
      <c r="AF188" s="14">
        <f t="shared" si="98"/>
        <v>1.1385071590273962E-2</v>
      </c>
      <c r="AG188" s="14">
        <f t="shared" si="99"/>
        <v>1.1320749410730066E-2</v>
      </c>
      <c r="AH188" s="14">
        <f t="shared" si="100"/>
        <v>0.1226096302456708</v>
      </c>
      <c r="AI188" s="14">
        <f t="shared" si="121"/>
        <v>1.1816059995316763E-2</v>
      </c>
      <c r="AJ188" s="14">
        <f t="shared" si="122"/>
        <v>0.29775691472423138</v>
      </c>
      <c r="AK188" s="14">
        <f t="shared" si="123"/>
        <v>0.39999999999999991</v>
      </c>
      <c r="AL188" s="14">
        <f t="shared" si="124"/>
        <v>7.9675676949513274E-3</v>
      </c>
    </row>
    <row r="189" spans="1:38" ht="17.25" customHeight="1" x14ac:dyDescent="0.2">
      <c r="A189" s="19" t="s">
        <v>7</v>
      </c>
      <c r="B189" s="19">
        <v>2021</v>
      </c>
      <c r="C189" s="14">
        <v>0</v>
      </c>
      <c r="D189" s="14">
        <v>1</v>
      </c>
      <c r="E189" s="14">
        <v>0</v>
      </c>
      <c r="F189" s="14">
        <v>1503.67</v>
      </c>
      <c r="G189" s="16">
        <f t="shared" si="92"/>
        <v>1.1644514453210988</v>
      </c>
      <c r="H189" s="14">
        <f t="shared" si="85"/>
        <v>7.3156640655411991</v>
      </c>
      <c r="I189" s="17">
        <v>163689</v>
      </c>
      <c r="J189" s="15">
        <v>596</v>
      </c>
      <c r="K189" s="14">
        <f t="shared" si="86"/>
        <v>0.36410510174782668</v>
      </c>
      <c r="L189" s="16">
        <f t="shared" si="93"/>
        <v>1.1700490387111846</v>
      </c>
      <c r="M189" s="14">
        <v>1.0457435779736526</v>
      </c>
      <c r="N189" s="16">
        <f t="shared" si="94"/>
        <v>0.79609896607405228</v>
      </c>
      <c r="O189" s="14">
        <v>1.25</v>
      </c>
      <c r="P189" s="17">
        <v>-8.0000000000000071E-2</v>
      </c>
      <c r="Q189" s="14">
        <v>102252</v>
      </c>
      <c r="R189" s="14">
        <f>[1]Feuil1!J223/panel_choc_taux_suisse_2014_202!Q189</f>
        <v>7561.2192040253476</v>
      </c>
      <c r="S189" s="14">
        <v>46.3</v>
      </c>
      <c r="T189" s="17">
        <f t="shared" si="87"/>
        <v>-0.81704489147053461</v>
      </c>
      <c r="U189" s="17">
        <f t="shared" si="88"/>
        <v>0.56352541726631666</v>
      </c>
      <c r="V189" s="14">
        <v>124676.552</v>
      </c>
      <c r="W189" s="16">
        <f t="shared" si="95"/>
        <v>2.0471035456117925</v>
      </c>
      <c r="X189" s="14">
        <f t="shared" si="89"/>
        <v>11.733478078702595</v>
      </c>
      <c r="Y189" s="14">
        <v>1.2</v>
      </c>
      <c r="Z189" s="16">
        <f t="shared" si="96"/>
        <v>-1.1486323073320583</v>
      </c>
      <c r="AA189" s="14">
        <f t="shared" si="97"/>
        <v>0.18232155679395459</v>
      </c>
      <c r="AB189" s="14">
        <v>30541</v>
      </c>
      <c r="AC189" s="17">
        <v>685</v>
      </c>
      <c r="AD189" s="14">
        <f t="shared" si="90"/>
        <v>4.1847650116990142E-3</v>
      </c>
      <c r="AE189" s="14">
        <f t="shared" si="91"/>
        <v>-0.12675973710210897</v>
      </c>
      <c r="AF189" s="14">
        <f t="shared" si="98"/>
        <v>1.0140778968168727E-2</v>
      </c>
      <c r="AG189" s="14">
        <f t="shared" si="99"/>
        <v>1.0089706256963923E-2</v>
      </c>
      <c r="AH189" s="14">
        <f t="shared" si="100"/>
        <v>0.10981378128794597</v>
      </c>
      <c r="AI189" s="14">
        <f t="shared" si="121"/>
        <v>1.902709297727867E-2</v>
      </c>
      <c r="AJ189" s="14">
        <f t="shared" si="122"/>
        <v>-0.12246038725357322</v>
      </c>
      <c r="AK189" s="14">
        <f t="shared" si="123"/>
        <v>-0.30000000000000004</v>
      </c>
      <c r="AL189" s="14">
        <f t="shared" si="124"/>
        <v>-2.0020025936737795E-3</v>
      </c>
    </row>
    <row r="190" spans="1:38" ht="17.25" customHeight="1" x14ac:dyDescent="0.2">
      <c r="A190" s="19" t="s">
        <v>7</v>
      </c>
      <c r="B190" s="19">
        <v>2022</v>
      </c>
      <c r="C190" s="14">
        <v>0</v>
      </c>
      <c r="D190" s="14">
        <v>1</v>
      </c>
      <c r="E190" s="14">
        <v>0</v>
      </c>
      <c r="F190" s="14">
        <v>1522.83</v>
      </c>
      <c r="G190" s="16">
        <f t="shared" si="92"/>
        <v>1.2615742483792842</v>
      </c>
      <c r="H190" s="14">
        <f t="shared" si="85"/>
        <v>7.3283257248659046</v>
      </c>
      <c r="I190" s="17">
        <v>164920</v>
      </c>
      <c r="J190" s="15">
        <v>35</v>
      </c>
      <c r="K190" s="14">
        <f t="shared" si="86"/>
        <v>2.1222410865874362E-2</v>
      </c>
      <c r="L190" s="16">
        <f t="shared" si="93"/>
        <v>0.1091754177424301</v>
      </c>
      <c r="M190" s="14">
        <v>0.98600652141555722</v>
      </c>
      <c r="N190" s="16">
        <f t="shared" si="94"/>
        <v>-1.6977493215702677</v>
      </c>
      <c r="O190" s="14">
        <v>1.21</v>
      </c>
      <c r="P190" s="17">
        <v>-4.0000000000000036E-2</v>
      </c>
      <c r="Q190" s="14">
        <v>102379</v>
      </c>
      <c r="R190" s="14">
        <f>[1]Feuil1!J224/panel_choc_taux_suisse_2014_202!Q190</f>
        <v>7776.326174964267</v>
      </c>
      <c r="S190" s="14">
        <v>46</v>
      </c>
      <c r="T190" s="17">
        <f t="shared" si="87"/>
        <v>-0.81342754508373638</v>
      </c>
      <c r="U190" s="17">
        <f t="shared" si="88"/>
        <v>0.53323670272195867</v>
      </c>
      <c r="V190" s="14">
        <v>125798.641</v>
      </c>
      <c r="W190" s="16">
        <f t="shared" si="95"/>
        <v>2.1107665238864852</v>
      </c>
      <c r="X190" s="14">
        <f t="shared" si="89"/>
        <v>11.742437820328441</v>
      </c>
      <c r="Y190" s="14">
        <v>0.8</v>
      </c>
      <c r="Z190" s="16">
        <f t="shared" si="96"/>
        <v>-1.493188869093045</v>
      </c>
      <c r="AA190" s="14">
        <f t="shared" si="97"/>
        <v>-0.22314355131420971</v>
      </c>
      <c r="AB190" s="14">
        <v>31442</v>
      </c>
      <c r="AC190" s="17">
        <v>931</v>
      </c>
      <c r="AD190" s="14">
        <f t="shared" si="90"/>
        <v>5.6451612903225803E-3</v>
      </c>
      <c r="AE190" s="14">
        <f t="shared" si="91"/>
        <v>-0.14009542118088886</v>
      </c>
      <c r="AF190" s="14">
        <f t="shared" si="98"/>
        <v>5.6038168472355597E-3</v>
      </c>
      <c r="AG190" s="14">
        <f t="shared" si="99"/>
        <v>5.5881738786182711E-3</v>
      </c>
      <c r="AH190" s="14">
        <f t="shared" si="100"/>
        <v>6.315732685349236E-2</v>
      </c>
      <c r="AI190" s="14">
        <f t="shared" si="121"/>
        <v>1.2661659324705532E-2</v>
      </c>
      <c r="AJ190" s="14">
        <f t="shared" si="122"/>
        <v>-0.34288269088195233</v>
      </c>
      <c r="AK190" s="14">
        <f t="shared" si="123"/>
        <v>-0.39999999999999991</v>
      </c>
      <c r="AL190" s="14">
        <f t="shared" si="124"/>
        <v>8.9597416258460072E-3</v>
      </c>
    </row>
    <row r="191" spans="1:38" ht="17.25" customHeight="1" x14ac:dyDescent="0.2">
      <c r="A191" s="19" t="s">
        <v>7</v>
      </c>
      <c r="B191" s="19">
        <v>2023</v>
      </c>
      <c r="C191" s="14">
        <v>0</v>
      </c>
      <c r="D191" s="14">
        <v>1</v>
      </c>
      <c r="E191" s="14">
        <v>0</v>
      </c>
      <c r="F191" s="14">
        <v>1774.14</v>
      </c>
      <c r="G191" s="16">
        <f t="shared" si="92"/>
        <v>2.5354746469467568</v>
      </c>
      <c r="H191" s="14">
        <f t="shared" si="85"/>
        <v>7.4810710774558</v>
      </c>
      <c r="I191" s="17">
        <v>167403</v>
      </c>
      <c r="J191" s="15">
        <v>342</v>
      </c>
      <c r="K191" s="14">
        <f t="shared" si="86"/>
        <v>0.20429741402483828</v>
      </c>
      <c r="L191" s="16">
        <f t="shared" si="93"/>
        <v>0.67560658115447325</v>
      </c>
      <c r="M191" s="14">
        <v>1.0341430614279774</v>
      </c>
      <c r="N191" s="16">
        <f t="shared" si="94"/>
        <v>0.31181115562449047</v>
      </c>
      <c r="O191" s="14">
        <v>1.48</v>
      </c>
      <c r="P191" s="17">
        <v>0.27</v>
      </c>
      <c r="Q191" s="14">
        <v>101955</v>
      </c>
      <c r="R191" s="14">
        <f>[1]Feuil1!J225/panel_choc_taux_suisse_2014_202!Q191</f>
        <v>7974.9726996387299</v>
      </c>
      <c r="S191" s="14">
        <v>45.5</v>
      </c>
      <c r="T191" s="17">
        <f t="shared" si="87"/>
        <v>-0.81008700579230986</v>
      </c>
      <c r="U191" s="17">
        <f t="shared" si="88"/>
        <v>0.48275551181469495</v>
      </c>
      <c r="V191" s="14">
        <v>147184.4099</v>
      </c>
      <c r="W191" s="16">
        <f t="shared" si="95"/>
        <v>3.3241121148942328</v>
      </c>
      <c r="X191" s="14">
        <f t="shared" si="89"/>
        <v>11.899441568662512</v>
      </c>
      <c r="Y191" s="14">
        <v>0.8</v>
      </c>
      <c r="Z191" s="16">
        <f t="shared" si="96"/>
        <v>-1.493188869093045</v>
      </c>
      <c r="AA191" s="14">
        <f t="shared" si="97"/>
        <v>-0.22314355131420971</v>
      </c>
      <c r="AB191" s="14">
        <v>32515</v>
      </c>
      <c r="AC191" s="17">
        <v>1104</v>
      </c>
      <c r="AD191" s="14">
        <f t="shared" si="90"/>
        <v>6.5948638913281123E-3</v>
      </c>
      <c r="AE191" s="14">
        <f t="shared" si="91"/>
        <v>-0.16366574698880745</v>
      </c>
      <c r="AF191" s="14">
        <f t="shared" si="98"/>
        <v>-4.4189751686978015E-2</v>
      </c>
      <c r="AG191" s="14">
        <f t="shared" si="99"/>
        <v>-4.5195870659715587E-2</v>
      </c>
      <c r="AH191" s="14">
        <f t="shared" si="100"/>
        <v>-0.44890146921323387</v>
      </c>
      <c r="AI191" s="14">
        <f t="shared" si="121"/>
        <v>0.15274535258989541</v>
      </c>
      <c r="AJ191" s="14">
        <f t="shared" si="122"/>
        <v>0.18307500315896391</v>
      </c>
      <c r="AK191" s="14">
        <f t="shared" si="123"/>
        <v>0</v>
      </c>
      <c r="AL191" s="14">
        <f t="shared" si="124"/>
        <v>0.1570037483340716</v>
      </c>
    </row>
    <row r="192" spans="1:38" ht="17.25" customHeight="1" x14ac:dyDescent="0.2">
      <c r="A192" s="19" t="s">
        <v>6</v>
      </c>
      <c r="B192" s="19">
        <v>2014</v>
      </c>
      <c r="C192" s="14">
        <v>1</v>
      </c>
      <c r="D192" s="14">
        <v>0</v>
      </c>
      <c r="E192" s="14">
        <v>0</v>
      </c>
      <c r="F192" s="14">
        <v>1142.67</v>
      </c>
      <c r="G192" s="16">
        <f t="shared" si="92"/>
        <v>-0.66547193171466301</v>
      </c>
      <c r="H192" s="14">
        <f t="shared" si="85"/>
        <v>7.0411229081981643</v>
      </c>
      <c r="I192" s="17">
        <v>263733</v>
      </c>
      <c r="J192" s="15">
        <v>608</v>
      </c>
      <c r="K192" s="14">
        <f t="shared" si="86"/>
        <v>0.23053618621863781</v>
      </c>
      <c r="L192" s="16">
        <f t="shared" si="93"/>
        <v>0.75678892720819624</v>
      </c>
      <c r="M192" s="14">
        <v>1.0281149308624065</v>
      </c>
      <c r="N192" s="16">
        <f t="shared" si="94"/>
        <v>6.0154245243822686E-2</v>
      </c>
      <c r="O192" s="14">
        <v>1.95</v>
      </c>
      <c r="P192" s="17">
        <v>0</v>
      </c>
      <c r="Q192" s="14">
        <v>42280</v>
      </c>
      <c r="R192" s="14">
        <f>[1]Feuil1!J226/panel_choc_taux_suisse_2014_202!Q192</f>
        <v>15014.482812992748</v>
      </c>
      <c r="S192" s="14">
        <v>46.9</v>
      </c>
      <c r="T192" s="17">
        <f t="shared" si="87"/>
        <v>-0.69170708364370659</v>
      </c>
      <c r="U192" s="17">
        <f t="shared" si="88"/>
        <v>0.62410284635503321</v>
      </c>
      <c r="V192" s="14">
        <v>77857.294750000001</v>
      </c>
      <c r="W192" s="16">
        <f t="shared" si="95"/>
        <v>-0.60923954049277207</v>
      </c>
      <c r="X192" s="14">
        <f t="shared" si="89"/>
        <v>11.262632875505595</v>
      </c>
      <c r="Y192" s="14">
        <v>2.2999999999999998</v>
      </c>
      <c r="Z192" s="16">
        <f t="shared" si="96"/>
        <v>-0.20110176248934492</v>
      </c>
      <c r="AA192" s="14">
        <f t="shared" si="97"/>
        <v>0.83290912293510388</v>
      </c>
      <c r="AB192" s="14">
        <v>41978</v>
      </c>
      <c r="AC192" s="17">
        <v>2017</v>
      </c>
      <c r="AD192" s="14">
        <f t="shared" si="90"/>
        <v>7.6478863092597441E-3</v>
      </c>
      <c r="AE192" s="14">
        <f t="shared" si="91"/>
        <v>-3.3802118644336687E-2</v>
      </c>
      <c r="AF192" s="14">
        <f t="shared" si="98"/>
        <v>0</v>
      </c>
      <c r="AG192" s="14">
        <f t="shared" si="99"/>
        <v>0</v>
      </c>
      <c r="AH192" s="14">
        <f t="shared" si="100"/>
        <v>5.5297297030243815E-3</v>
      </c>
      <c r="AI192" s="14">
        <v>0</v>
      </c>
      <c r="AJ192" s="14">
        <v>0</v>
      </c>
      <c r="AK192" s="14">
        <v>0</v>
      </c>
      <c r="AL192" s="14">
        <v>0</v>
      </c>
    </row>
    <row r="193" spans="1:38" ht="17.25" customHeight="1" x14ac:dyDescent="0.2">
      <c r="A193" s="19" t="s">
        <v>6</v>
      </c>
      <c r="B193" s="19">
        <v>2015</v>
      </c>
      <c r="C193" s="14">
        <v>1</v>
      </c>
      <c r="D193" s="14">
        <v>0</v>
      </c>
      <c r="E193" s="14">
        <v>0</v>
      </c>
      <c r="F193" s="14">
        <v>1115.67</v>
      </c>
      <c r="G193" s="16">
        <f t="shared" si="92"/>
        <v>-0.8023360070054264</v>
      </c>
      <c r="H193" s="14">
        <f t="shared" si="85"/>
        <v>7.0172104002889775</v>
      </c>
      <c r="I193" s="17">
        <v>267429</v>
      </c>
      <c r="J193" s="15">
        <v>952</v>
      </c>
      <c r="K193" s="14">
        <f t="shared" si="86"/>
        <v>0.35598233549839398</v>
      </c>
      <c r="L193" s="16">
        <f t="shared" si="93"/>
        <v>1.144917328442715</v>
      </c>
      <c r="M193" s="14">
        <v>1.0174024043472965</v>
      </c>
      <c r="N193" s="16">
        <f t="shared" si="94"/>
        <v>-0.38706256531446542</v>
      </c>
      <c r="O193" s="14">
        <v>1.84</v>
      </c>
      <c r="P193" s="17">
        <v>-0.10999999999999988</v>
      </c>
      <c r="Q193" s="14">
        <v>43109</v>
      </c>
      <c r="R193" s="14">
        <f>[1]Feuil1!J227/panel_choc_taux_suisse_2014_202!Q193</f>
        <v>15219.146521801325</v>
      </c>
      <c r="S193" s="14">
        <v>48</v>
      </c>
      <c r="T193" s="17">
        <f t="shared" si="87"/>
        <v>-0.68826535637500885</v>
      </c>
      <c r="U193" s="17">
        <f t="shared" si="88"/>
        <v>0.73516146635101365</v>
      </c>
      <c r="V193" s="14">
        <v>78168.723929999993</v>
      </c>
      <c r="W193" s="16">
        <f t="shared" si="95"/>
        <v>-0.59157025657639395</v>
      </c>
      <c r="X193" s="14">
        <f t="shared" si="89"/>
        <v>11.266624896787926</v>
      </c>
      <c r="Y193" s="14">
        <v>2.4</v>
      </c>
      <c r="Z193" s="16">
        <f t="shared" si="96"/>
        <v>-0.11496262204909814</v>
      </c>
      <c r="AA193" s="14">
        <f t="shared" si="97"/>
        <v>0.87546873735389985</v>
      </c>
      <c r="AB193" s="14">
        <v>43316</v>
      </c>
      <c r="AC193" s="17">
        <v>2195</v>
      </c>
      <c r="AD193" s="14">
        <f t="shared" si="90"/>
        <v>8.2077859917959531E-3</v>
      </c>
      <c r="AE193" s="14">
        <f t="shared" si="91"/>
        <v>2.3448054988002398E-2</v>
      </c>
      <c r="AF193" s="14">
        <f t="shared" si="98"/>
        <v>-2.5792860486802609E-3</v>
      </c>
      <c r="AG193" s="14">
        <f t="shared" si="99"/>
        <v>-2.5826181377812635E-3</v>
      </c>
      <c r="AH193" s="14">
        <f t="shared" si="100"/>
        <v>-2.0994702019345994E-2</v>
      </c>
      <c r="AI193" s="14">
        <f t="shared" ref="AI193:AI201" si="125">LN(F193)-LN(F192)</f>
        <v>-2.3912507909186864E-2</v>
      </c>
      <c r="AJ193" s="14">
        <f t="shared" ref="AJ193:AJ201" si="126">K193-K192</f>
        <v>0.12544614927975617</v>
      </c>
      <c r="AK193" s="14">
        <f t="shared" ref="AK193:AK201" si="127">Y193-Y192</f>
        <v>0.10000000000000009</v>
      </c>
      <c r="AL193" s="14">
        <f t="shared" ref="AL193:AL201" si="128">LN(V193)-LN(V192)</f>
        <v>3.9920212823307821E-3</v>
      </c>
    </row>
    <row r="194" spans="1:38" ht="17.25" customHeight="1" x14ac:dyDescent="0.2">
      <c r="A194" s="19" t="s">
        <v>6</v>
      </c>
      <c r="B194" s="19">
        <v>2016</v>
      </c>
      <c r="C194" s="14">
        <v>1</v>
      </c>
      <c r="D194" s="14">
        <v>0</v>
      </c>
      <c r="E194" s="14">
        <v>0</v>
      </c>
      <c r="F194" s="14">
        <v>1123.33</v>
      </c>
      <c r="G194" s="16">
        <f t="shared" si="92"/>
        <v>-0.76350716194145496</v>
      </c>
      <c r="H194" s="14">
        <f t="shared" ref="H194:H257" si="129">LN(F194)</f>
        <v>7.0240527673148447</v>
      </c>
      <c r="I194" s="17">
        <v>270709</v>
      </c>
      <c r="J194" s="15">
        <v>590</v>
      </c>
      <c r="K194" s="14">
        <f t="shared" ref="K194:K257" si="130">(J194/I194)*100</f>
        <v>0.21794620792068234</v>
      </c>
      <c r="L194" s="16">
        <f t="shared" si="93"/>
        <v>0.71783573353570373</v>
      </c>
      <c r="M194" s="14">
        <v>0.98347652295718835</v>
      </c>
      <c r="N194" s="16">
        <f t="shared" si="94"/>
        <v>-1.8033693953850858</v>
      </c>
      <c r="O194" s="14">
        <v>1.71</v>
      </c>
      <c r="P194" s="17">
        <v>-0.13000000000000012</v>
      </c>
      <c r="Q194" s="14">
        <v>43802</v>
      </c>
      <c r="R194" s="14">
        <f>[1]Feuil1!J228/panel_choc_taux_suisse_2014_202!Q194</f>
        <v>15423.56720964035</v>
      </c>
      <c r="S194" s="14">
        <v>47.9</v>
      </c>
      <c r="T194" s="17">
        <f t="shared" ref="T194:T261" si="131">(R194-AVERAGE($R$2:$R$261))/STDEV($R$2:$R$261)</f>
        <v>-0.68482771586845692</v>
      </c>
      <c r="U194" s="17">
        <f t="shared" ref="U194:U261" si="132">(S194-AVERAGE($S$2:$S$261))/STDEV($S$2:$S$261)</f>
        <v>0.72506522816956076</v>
      </c>
      <c r="V194" s="14">
        <v>78715.904999999999</v>
      </c>
      <c r="W194" s="16">
        <f t="shared" si="95"/>
        <v>-0.56052532469333183</v>
      </c>
      <c r="X194" s="14">
        <f t="shared" ref="X194:X257" si="133">LN(V194)</f>
        <v>11.273600510555985</v>
      </c>
      <c r="Y194" s="14">
        <v>2.5</v>
      </c>
      <c r="Z194" s="16">
        <f t="shared" si="96"/>
        <v>-2.882348160885137E-2</v>
      </c>
      <c r="AA194" s="14">
        <f t="shared" si="97"/>
        <v>0.91629073187415511</v>
      </c>
      <c r="AB194" s="14">
        <v>44693</v>
      </c>
      <c r="AC194" s="17">
        <v>1931</v>
      </c>
      <c r="AD194" s="14">
        <f t="shared" ref="AD194:AD257" si="134">AC194/I194</f>
        <v>7.1331208049972483E-3</v>
      </c>
      <c r="AE194" s="14">
        <f t="shared" ref="AE194:AE261" si="135">0.5*T194+0.5*U194</f>
        <v>2.011875615055192E-2</v>
      </c>
      <c r="AF194" s="14">
        <f t="shared" si="98"/>
        <v>-2.6154382995717518E-3</v>
      </c>
      <c r="AG194" s="14">
        <f t="shared" si="99"/>
        <v>-2.6188645336944006E-3</v>
      </c>
      <c r="AH194" s="14">
        <f t="shared" si="100"/>
        <v>-2.1366478507987882E-2</v>
      </c>
      <c r="AI194" s="14">
        <f t="shared" si="125"/>
        <v>6.8423670258672686E-3</v>
      </c>
      <c r="AJ194" s="14">
        <f t="shared" si="126"/>
        <v>-0.13803612757771164</v>
      </c>
      <c r="AK194" s="14">
        <f t="shared" si="127"/>
        <v>0.10000000000000009</v>
      </c>
      <c r="AL194" s="14">
        <f t="shared" si="128"/>
        <v>6.975613768059219E-3</v>
      </c>
    </row>
    <row r="195" spans="1:38" ht="17.25" customHeight="1" x14ac:dyDescent="0.2">
      <c r="A195" s="19" t="s">
        <v>6</v>
      </c>
      <c r="B195" s="19">
        <v>2017</v>
      </c>
      <c r="C195" s="14">
        <v>1</v>
      </c>
      <c r="D195" s="14">
        <v>0</v>
      </c>
      <c r="E195" s="14">
        <v>0</v>
      </c>
      <c r="F195" s="14">
        <v>1136.83</v>
      </c>
      <c r="G195" s="16">
        <f t="shared" ref="G195:G258" si="136">(F195-AVERAGE($F$2:$F$261))/STDEV($F$2:$F$261)</f>
        <v>-0.69507512429607332</v>
      </c>
      <c r="H195" s="14">
        <f t="shared" si="129"/>
        <v>7.0359989663009754</v>
      </c>
      <c r="I195" s="17">
        <v>273801</v>
      </c>
      <c r="J195" s="15">
        <v>970</v>
      </c>
      <c r="K195" s="14">
        <f t="shared" si="130"/>
        <v>0.35427189820343974</v>
      </c>
      <c r="L195" s="16">
        <f t="shared" ref="L195:L258" si="137">(K195-AVERAGE($K$2:$K$261))/STDEV($K$2:$K$261)</f>
        <v>1.1396252625123213</v>
      </c>
      <c r="M195" s="14">
        <v>1.0635156673797794</v>
      </c>
      <c r="N195" s="16">
        <f t="shared" ref="N195:N258" si="138">(M195-AVERAGE($M$2:$M$261))/STDEV($M$2:$M$261)</f>
        <v>1.5380319853253162</v>
      </c>
      <c r="O195" s="14">
        <v>1.56</v>
      </c>
      <c r="P195" s="17">
        <v>-0.14999999999999991</v>
      </c>
      <c r="Q195" s="14">
        <v>43648</v>
      </c>
      <c r="R195" s="14">
        <f>[1]Feuil1!J229/panel_choc_taux_suisse_2014_202!Q195</f>
        <v>15862.63996670332</v>
      </c>
      <c r="S195" s="14">
        <v>47</v>
      </c>
      <c r="T195" s="17">
        <f t="shared" si="131"/>
        <v>-0.67744404882888765</v>
      </c>
      <c r="U195" s="17">
        <f t="shared" si="132"/>
        <v>0.6341990845364861</v>
      </c>
      <c r="V195" s="14">
        <v>79030.768620000003</v>
      </c>
      <c r="W195" s="16">
        <f t="shared" ref="W195:W258" si="139">(V195-AVERAGE($V$2:$V$261))/STDEV($V$2:$V$261)</f>
        <v>-0.54266118397049146</v>
      </c>
      <c r="X195" s="14">
        <f t="shared" si="133"/>
        <v>11.277592531825523</v>
      </c>
      <c r="Y195" s="14">
        <v>2.2000000000000002</v>
      </c>
      <c r="Z195" s="16">
        <f t="shared" ref="Z195:Z258" si="140">(Y195-AVERAGE($Y$2:$Y$261))/STDEV($Y$2:$Y$261)</f>
        <v>-0.28724090292959131</v>
      </c>
      <c r="AA195" s="14">
        <f t="shared" ref="AA195:AA258" si="141">LN(Y195)</f>
        <v>0.78845736036427028</v>
      </c>
      <c r="AB195" s="14">
        <v>47245</v>
      </c>
      <c r="AC195" s="17">
        <v>2566</v>
      </c>
      <c r="AD195" s="14">
        <f t="shared" si="134"/>
        <v>9.3717700081446011E-3</v>
      </c>
      <c r="AE195" s="14">
        <f t="shared" si="135"/>
        <v>-2.1622482146200772E-2</v>
      </c>
      <c r="AF195" s="14">
        <f t="shared" ref="AF195:AF258" si="142">AE195*P195</f>
        <v>3.2433723219301141E-3</v>
      </c>
      <c r="AG195" s="14">
        <f t="shared" ref="AG195:AG258" si="143">LN(1+AF195)</f>
        <v>3.2381239351736832E-3</v>
      </c>
      <c r="AH195" s="14">
        <f t="shared" ref="AH195:AH258" si="144">(AF195-AVERAGE($AF$2:$AF$261))/STDEV($AF$2:$AF$261)</f>
        <v>3.8883381093214042E-2</v>
      </c>
      <c r="AI195" s="14">
        <f t="shared" si="125"/>
        <v>1.1946198986130696E-2</v>
      </c>
      <c r="AJ195" s="14">
        <f t="shared" si="126"/>
        <v>0.1363256902827574</v>
      </c>
      <c r="AK195" s="14">
        <f t="shared" si="127"/>
        <v>-0.29999999999999982</v>
      </c>
      <c r="AL195" s="14">
        <f t="shared" si="128"/>
        <v>3.9920212695374602E-3</v>
      </c>
    </row>
    <row r="196" spans="1:38" ht="17.25" customHeight="1" x14ac:dyDescent="0.2">
      <c r="A196" s="19" t="s">
        <v>6</v>
      </c>
      <c r="B196" s="19">
        <v>2018</v>
      </c>
      <c r="C196" s="14">
        <v>1</v>
      </c>
      <c r="D196" s="14">
        <v>0</v>
      </c>
      <c r="E196" s="14">
        <v>0</v>
      </c>
      <c r="F196" s="14">
        <v>1163.5</v>
      </c>
      <c r="G196" s="16">
        <f t="shared" si="136"/>
        <v>-0.55988383214775228</v>
      </c>
      <c r="H196" s="14">
        <f t="shared" si="129"/>
        <v>7.0591879827423467</v>
      </c>
      <c r="I196" s="17">
        <v>276472</v>
      </c>
      <c r="J196" s="15">
        <v>596</v>
      </c>
      <c r="K196" s="14">
        <f t="shared" si="130"/>
        <v>0.21557336728493301</v>
      </c>
      <c r="L196" s="16">
        <f t="shared" si="137"/>
        <v>0.71049420214852788</v>
      </c>
      <c r="M196" s="14">
        <v>1.0301138707197743</v>
      </c>
      <c r="N196" s="16">
        <f t="shared" si="138"/>
        <v>0.14360416774800241</v>
      </c>
      <c r="O196" s="14">
        <v>1.5</v>
      </c>
      <c r="P196" s="17">
        <v>-6.0000000000000053E-2</v>
      </c>
      <c r="Q196" s="14">
        <v>42138</v>
      </c>
      <c r="R196" s="14">
        <f>[1]Feuil1!J230/panel_choc_taux_suisse_2014_202!Q196</f>
        <v>16869.313688752827</v>
      </c>
      <c r="S196" s="14">
        <v>44.9</v>
      </c>
      <c r="T196" s="17">
        <f t="shared" si="131"/>
        <v>-0.66051532013522485</v>
      </c>
      <c r="U196" s="17">
        <f t="shared" si="132"/>
        <v>0.42217808272597834</v>
      </c>
      <c r="V196" s="14">
        <v>79425.922460000002</v>
      </c>
      <c r="W196" s="16">
        <f t="shared" si="139"/>
        <v>-0.52024168753920907</v>
      </c>
      <c r="X196" s="14">
        <f t="shared" si="133"/>
        <v>11.282580073297531</v>
      </c>
      <c r="Y196" s="14">
        <v>2</v>
      </c>
      <c r="Z196" s="16">
        <f t="shared" si="140"/>
        <v>-0.45951918381008483</v>
      </c>
      <c r="AA196" s="14">
        <f t="shared" si="141"/>
        <v>0.69314718055994529</v>
      </c>
      <c r="AB196" s="14">
        <v>48651</v>
      </c>
      <c r="AC196" s="17">
        <v>2109</v>
      </c>
      <c r="AD196" s="14">
        <f t="shared" si="134"/>
        <v>7.6282589195289215E-3</v>
      </c>
      <c r="AE196" s="14">
        <f t="shared" si="135"/>
        <v>-0.11916861870462325</v>
      </c>
      <c r="AF196" s="14">
        <f t="shared" si="142"/>
        <v>7.1501171222774019E-3</v>
      </c>
      <c r="AG196" s="14">
        <f t="shared" si="143"/>
        <v>7.1246762330874711E-3</v>
      </c>
      <c r="AH196" s="14">
        <f t="shared" si="144"/>
        <v>7.9058911746961558E-2</v>
      </c>
      <c r="AI196" s="14">
        <f t="shared" si="125"/>
        <v>2.318901644137128E-2</v>
      </c>
      <c r="AJ196" s="14">
        <f t="shared" si="126"/>
        <v>-0.13869853091850673</v>
      </c>
      <c r="AK196" s="14">
        <f t="shared" si="127"/>
        <v>-0.20000000000000018</v>
      </c>
      <c r="AL196" s="14">
        <f t="shared" si="128"/>
        <v>4.9875414720084166E-3</v>
      </c>
    </row>
    <row r="197" spans="1:38" ht="17.25" customHeight="1" x14ac:dyDescent="0.2">
      <c r="A197" s="19" t="s">
        <v>6</v>
      </c>
      <c r="B197" s="19">
        <v>2019</v>
      </c>
      <c r="C197" s="14">
        <v>1</v>
      </c>
      <c r="D197" s="14">
        <v>0</v>
      </c>
      <c r="E197" s="14">
        <v>0</v>
      </c>
      <c r="F197" s="14">
        <v>1187.67</v>
      </c>
      <c r="G197" s="16">
        <f t="shared" si="136"/>
        <v>-0.43736513956339079</v>
      </c>
      <c r="H197" s="14">
        <f t="shared" si="129"/>
        <v>7.0797486835574199</v>
      </c>
      <c r="I197" s="17">
        <v>279547</v>
      </c>
      <c r="J197" s="15">
        <v>607</v>
      </c>
      <c r="K197" s="14">
        <f t="shared" si="130"/>
        <v>0.21713701094985818</v>
      </c>
      <c r="L197" s="16">
        <f t="shared" si="137"/>
        <v>0.71533209090997929</v>
      </c>
      <c r="M197" s="14">
        <v>1.036888899675622</v>
      </c>
      <c r="N197" s="16">
        <f t="shared" si="138"/>
        <v>0.42644191258817377</v>
      </c>
      <c r="O197" s="14">
        <v>1.43</v>
      </c>
      <c r="P197" s="17">
        <v>-7.0000000000000062E-2</v>
      </c>
      <c r="Q197" s="14">
        <v>42716</v>
      </c>
      <c r="R197" s="14">
        <f>[1]Feuil1!J231/panel_choc_taux_suisse_2014_202!Q197</f>
        <v>17093.518897680806</v>
      </c>
      <c r="S197" s="14">
        <v>45.4</v>
      </c>
      <c r="T197" s="17">
        <f t="shared" si="131"/>
        <v>-0.65674497322886038</v>
      </c>
      <c r="U197" s="17">
        <f t="shared" si="132"/>
        <v>0.47265927363324206</v>
      </c>
      <c r="V197" s="14">
        <v>80141</v>
      </c>
      <c r="W197" s="16">
        <f t="shared" si="139"/>
        <v>-0.47967096106943669</v>
      </c>
      <c r="X197" s="14">
        <f t="shared" si="133"/>
        <v>11.291542862275499</v>
      </c>
      <c r="Y197" s="14">
        <v>1.9</v>
      </c>
      <c r="Z197" s="16">
        <f t="shared" si="140"/>
        <v>-0.54565832425033156</v>
      </c>
      <c r="AA197" s="14">
        <f t="shared" si="141"/>
        <v>0.64185388617239469</v>
      </c>
      <c r="AB197" s="14">
        <v>50151</v>
      </c>
      <c r="AC197" s="17">
        <v>1709</v>
      </c>
      <c r="AD197" s="14">
        <f t="shared" si="134"/>
        <v>6.1134621369572919E-3</v>
      </c>
      <c r="AE197" s="14">
        <f t="shared" si="135"/>
        <v>-9.2042849797809162E-2</v>
      </c>
      <c r="AF197" s="14">
        <f t="shared" si="142"/>
        <v>6.4429994858466472E-3</v>
      </c>
      <c r="AG197" s="14">
        <f t="shared" si="143"/>
        <v>6.4223320905035493E-3</v>
      </c>
      <c r="AH197" s="14">
        <f t="shared" si="144"/>
        <v>7.1787173322761466E-2</v>
      </c>
      <c r="AI197" s="14">
        <f t="shared" si="125"/>
        <v>2.0560700815073218E-2</v>
      </c>
      <c r="AJ197" s="14">
        <f t="shared" si="126"/>
        <v>1.5636436649251739E-3</v>
      </c>
      <c r="AK197" s="14">
        <f t="shared" si="127"/>
        <v>-0.10000000000000009</v>
      </c>
      <c r="AL197" s="14">
        <f t="shared" si="128"/>
        <v>8.9627889779677616E-3</v>
      </c>
    </row>
    <row r="198" spans="1:38" ht="17.25" customHeight="1" x14ac:dyDescent="0.2">
      <c r="A198" s="19" t="s">
        <v>6</v>
      </c>
      <c r="B198" s="19">
        <v>2020</v>
      </c>
      <c r="C198" s="14">
        <v>1</v>
      </c>
      <c r="D198" s="14">
        <v>0</v>
      </c>
      <c r="E198" s="14">
        <v>0</v>
      </c>
      <c r="F198" s="14">
        <v>1212.67</v>
      </c>
      <c r="G198" s="16">
        <f t="shared" si="136"/>
        <v>-0.3106391439237951</v>
      </c>
      <c r="H198" s="14">
        <f t="shared" si="129"/>
        <v>7.1005798191692371</v>
      </c>
      <c r="I198" s="17">
        <v>282909</v>
      </c>
      <c r="J198" s="15">
        <v>957</v>
      </c>
      <c r="K198" s="14">
        <f t="shared" si="130"/>
        <v>0.33827131692523038</v>
      </c>
      <c r="L198" s="16">
        <f t="shared" si="137"/>
        <v>1.0901197171768093</v>
      </c>
      <c r="M198" s="14">
        <v>1.0413346451454319</v>
      </c>
      <c r="N198" s="16">
        <f t="shared" si="138"/>
        <v>0.61203884966534006</v>
      </c>
      <c r="O198" s="14">
        <v>1.33</v>
      </c>
      <c r="P198" s="17">
        <v>-9.9999999999999867E-2</v>
      </c>
      <c r="Q198" s="14">
        <v>42640</v>
      </c>
      <c r="R198" s="14">
        <f>[1]Feuil1!J232/panel_choc_taux_suisse_2014_202!Q198</f>
        <v>17575.440131918385</v>
      </c>
      <c r="S198" s="14">
        <v>45</v>
      </c>
      <c r="T198" s="17">
        <f t="shared" si="131"/>
        <v>-0.64864074477089162</v>
      </c>
      <c r="U198" s="17">
        <f t="shared" si="132"/>
        <v>0.43227432090743123</v>
      </c>
      <c r="V198" s="14">
        <v>80781.881810000006</v>
      </c>
      <c r="W198" s="16">
        <f t="shared" si="139"/>
        <v>-0.44330981258061281</v>
      </c>
      <c r="X198" s="14">
        <f t="shared" si="133"/>
        <v>11.299507984340002</v>
      </c>
      <c r="Y198" s="14">
        <v>2.5</v>
      </c>
      <c r="Z198" s="16">
        <f t="shared" si="140"/>
        <v>-2.882348160885137E-2</v>
      </c>
      <c r="AA198" s="14">
        <f t="shared" si="141"/>
        <v>0.91629073187415511</v>
      </c>
      <c r="AB198" s="14">
        <v>51722</v>
      </c>
      <c r="AC198" s="17">
        <v>1635</v>
      </c>
      <c r="AD198" s="14">
        <f t="shared" si="134"/>
        <v>5.7792435023276039E-3</v>
      </c>
      <c r="AE198" s="14">
        <f t="shared" si="135"/>
        <v>-0.10818321193173019</v>
      </c>
      <c r="AF198" s="14">
        <f t="shared" si="142"/>
        <v>1.0818321193173004E-2</v>
      </c>
      <c r="AG198" s="14">
        <f t="shared" si="143"/>
        <v>1.0760221806076147E-2</v>
      </c>
      <c r="AH198" s="14">
        <f t="shared" si="144"/>
        <v>0.1167813770283813</v>
      </c>
      <c r="AI198" s="14">
        <f t="shared" si="125"/>
        <v>2.0831135611817153E-2</v>
      </c>
      <c r="AJ198" s="14">
        <f t="shared" si="126"/>
        <v>0.1211343059753722</v>
      </c>
      <c r="AK198" s="14">
        <f t="shared" si="127"/>
        <v>0.60000000000000009</v>
      </c>
      <c r="AL198" s="14">
        <f t="shared" si="128"/>
        <v>7.9651220645029497E-3</v>
      </c>
    </row>
    <row r="199" spans="1:38" ht="17.25" customHeight="1" x14ac:dyDescent="0.2">
      <c r="A199" s="19" t="s">
        <v>6</v>
      </c>
      <c r="B199" s="19">
        <v>2021</v>
      </c>
      <c r="C199" s="14">
        <v>1</v>
      </c>
      <c r="D199" s="14">
        <v>0</v>
      </c>
      <c r="E199" s="14">
        <v>0</v>
      </c>
      <c r="F199" s="14">
        <v>1227.17</v>
      </c>
      <c r="G199" s="16">
        <f t="shared" si="136"/>
        <v>-0.23713806645282962</v>
      </c>
      <c r="H199" s="14">
        <f t="shared" si="129"/>
        <v>7.112465984421096</v>
      </c>
      <c r="I199" s="17">
        <v>285964</v>
      </c>
      <c r="J199" s="15">
        <v>851</v>
      </c>
      <c r="K199" s="14">
        <f t="shared" si="130"/>
        <v>0.29758990642178734</v>
      </c>
      <c r="L199" s="16">
        <f t="shared" si="137"/>
        <v>0.96425207668467872</v>
      </c>
      <c r="M199" s="14">
        <v>1.0457435779736526</v>
      </c>
      <c r="N199" s="16">
        <f t="shared" si="138"/>
        <v>0.79609896607405228</v>
      </c>
      <c r="O199" s="14">
        <v>1.25</v>
      </c>
      <c r="P199" s="17">
        <v>-8.0000000000000071E-2</v>
      </c>
      <c r="Q199" s="14">
        <v>43156</v>
      </c>
      <c r="R199" s="14">
        <f>[1]Feuil1!J233/panel_choc_taux_suisse_2014_202!Q199</f>
        <v>17915.232784549073</v>
      </c>
      <c r="S199" s="14">
        <v>45.1</v>
      </c>
      <c r="T199" s="17">
        <f t="shared" si="131"/>
        <v>-0.64292662161212488</v>
      </c>
      <c r="U199" s="17">
        <f t="shared" si="132"/>
        <v>0.44237055908888412</v>
      </c>
      <c r="V199" s="14">
        <v>80620.318050000002</v>
      </c>
      <c r="W199" s="16">
        <f t="shared" si="139"/>
        <v>-0.45247631376087383</v>
      </c>
      <c r="X199" s="14">
        <f t="shared" si="133"/>
        <v>11.297505981714231</v>
      </c>
      <c r="Y199" s="14">
        <v>2.4</v>
      </c>
      <c r="Z199" s="16">
        <f t="shared" si="140"/>
        <v>-0.11496262204909814</v>
      </c>
      <c r="AA199" s="14">
        <f t="shared" si="141"/>
        <v>0.87546873735389985</v>
      </c>
      <c r="AB199" s="14">
        <v>53327</v>
      </c>
      <c r="AC199" s="17">
        <v>1628</v>
      </c>
      <c r="AD199" s="14">
        <f t="shared" si="134"/>
        <v>5.6930242967646273E-3</v>
      </c>
      <c r="AE199" s="14">
        <f t="shared" si="135"/>
        <v>-0.10027803126162038</v>
      </c>
      <c r="AF199" s="14">
        <f t="shared" si="142"/>
        <v>8.0222425009296369E-3</v>
      </c>
      <c r="AG199" s="14">
        <f t="shared" si="143"/>
        <v>7.9902353788712469E-3</v>
      </c>
      <c r="AH199" s="14">
        <f t="shared" si="144"/>
        <v>8.8027529272436816E-2</v>
      </c>
      <c r="AI199" s="14">
        <f t="shared" si="125"/>
        <v>1.1886165251858927E-2</v>
      </c>
      <c r="AJ199" s="14">
        <f t="shared" si="126"/>
        <v>-4.0681410503443038E-2</v>
      </c>
      <c r="AK199" s="14">
        <f t="shared" si="127"/>
        <v>-0.10000000000000009</v>
      </c>
      <c r="AL199" s="14">
        <f t="shared" si="128"/>
        <v>-2.0020026257707713E-3</v>
      </c>
    </row>
    <row r="200" spans="1:38" ht="17.25" customHeight="1" x14ac:dyDescent="0.2">
      <c r="A200" s="19" t="s">
        <v>6</v>
      </c>
      <c r="B200" s="19">
        <v>2022</v>
      </c>
      <c r="C200" s="14">
        <v>1</v>
      </c>
      <c r="D200" s="14">
        <v>0</v>
      </c>
      <c r="E200" s="14">
        <v>0</v>
      </c>
      <c r="F200" s="14">
        <v>1242.5</v>
      </c>
      <c r="G200" s="16">
        <f t="shared" si="136"/>
        <v>-0.1594296859266299</v>
      </c>
      <c r="H200" s="14">
        <f t="shared" si="129"/>
        <v>7.124880757970784</v>
      </c>
      <c r="I200" s="17">
        <v>289650</v>
      </c>
      <c r="J200" s="15">
        <v>676</v>
      </c>
      <c r="K200" s="14">
        <f t="shared" si="130"/>
        <v>0.23338511997238043</v>
      </c>
      <c r="L200" s="16">
        <f t="shared" si="137"/>
        <v>0.76560348317035054</v>
      </c>
      <c r="M200" s="14">
        <v>0.98600652141555722</v>
      </c>
      <c r="N200" s="16">
        <f t="shared" si="138"/>
        <v>-1.6977493215702677</v>
      </c>
      <c r="O200" s="14">
        <v>1.21</v>
      </c>
      <c r="P200" s="17">
        <v>-4.0000000000000036E-2</v>
      </c>
      <c r="Q200" s="14">
        <v>43327</v>
      </c>
      <c r="R200" s="14">
        <f>[1]Feuil1!J234/panel_choc_taux_suisse_2014_202!Q200</f>
        <v>18374.973976196521</v>
      </c>
      <c r="S200" s="14">
        <v>44.8</v>
      </c>
      <c r="T200" s="17">
        <f t="shared" si="131"/>
        <v>-0.6351953838414045</v>
      </c>
      <c r="U200" s="17">
        <f t="shared" si="132"/>
        <v>0.41208184454452546</v>
      </c>
      <c r="V200" s="14">
        <v>81345.900909999997</v>
      </c>
      <c r="W200" s="16">
        <f t="shared" si="139"/>
        <v>-0.41130955617509507</v>
      </c>
      <c r="X200" s="14">
        <f t="shared" si="133"/>
        <v>11.306465723055585</v>
      </c>
      <c r="Y200" s="14">
        <v>2</v>
      </c>
      <c r="Z200" s="16">
        <f t="shared" si="140"/>
        <v>-0.45951918381008483</v>
      </c>
      <c r="AA200" s="14">
        <f t="shared" si="141"/>
        <v>0.69314718055994529</v>
      </c>
      <c r="AB200" s="14">
        <v>54896</v>
      </c>
      <c r="AC200" s="17">
        <v>1722</v>
      </c>
      <c r="AD200" s="14">
        <f t="shared" si="134"/>
        <v>5.9451061626100464E-3</v>
      </c>
      <c r="AE200" s="14">
        <f t="shared" si="135"/>
        <v>-0.11155676964843952</v>
      </c>
      <c r="AF200" s="14">
        <f t="shared" si="142"/>
        <v>4.4622707859375849E-3</v>
      </c>
      <c r="AG200" s="14">
        <f t="shared" si="143"/>
        <v>4.45234437425734E-3</v>
      </c>
      <c r="AH200" s="14">
        <f t="shared" si="144"/>
        <v>5.1418085842852346E-2</v>
      </c>
      <c r="AI200" s="14">
        <f t="shared" si="125"/>
        <v>1.2414773549688007E-2</v>
      </c>
      <c r="AJ200" s="14">
        <f t="shared" si="126"/>
        <v>-6.4204786449406914E-2</v>
      </c>
      <c r="AK200" s="14">
        <f t="shared" si="127"/>
        <v>-0.39999999999999991</v>
      </c>
      <c r="AL200" s="14">
        <f t="shared" si="128"/>
        <v>8.9597413413535776E-3</v>
      </c>
    </row>
    <row r="201" spans="1:38" ht="17.25" customHeight="1" x14ac:dyDescent="0.2">
      <c r="A201" s="19" t="s">
        <v>6</v>
      </c>
      <c r="B201" s="19">
        <v>2023</v>
      </c>
      <c r="C201" s="14">
        <v>1</v>
      </c>
      <c r="D201" s="14">
        <v>0</v>
      </c>
      <c r="E201" s="14">
        <v>0</v>
      </c>
      <c r="F201" s="14">
        <v>1410.71</v>
      </c>
      <c r="G201" s="16">
        <f t="shared" si="136"/>
        <v>0.6932335031348259</v>
      </c>
      <c r="H201" s="14">
        <f t="shared" si="129"/>
        <v>7.2518484027347112</v>
      </c>
      <c r="I201" s="17">
        <v>295220</v>
      </c>
      <c r="J201" s="15">
        <v>749</v>
      </c>
      <c r="K201" s="14">
        <f t="shared" si="130"/>
        <v>0.25370909829957317</v>
      </c>
      <c r="L201" s="16">
        <f t="shared" si="137"/>
        <v>0.82848555057655437</v>
      </c>
      <c r="M201" s="14">
        <v>1.0341430614279774</v>
      </c>
      <c r="N201" s="16">
        <f t="shared" si="138"/>
        <v>0.31181115562449047</v>
      </c>
      <c r="O201" s="14">
        <v>1.48</v>
      </c>
      <c r="P201" s="17">
        <v>0.27</v>
      </c>
      <c r="Q201" s="14">
        <v>43773</v>
      </c>
      <c r="R201" s="14">
        <f>[1]Feuil1!J235/panel_choc_taux_suisse_2014_202!Q201</f>
        <v>18575.111177933126</v>
      </c>
      <c r="S201" s="14">
        <v>44.6</v>
      </c>
      <c r="T201" s="17">
        <f t="shared" si="131"/>
        <v>-0.63182977657909312</v>
      </c>
      <c r="U201" s="17">
        <f t="shared" si="132"/>
        <v>0.3918893681816204</v>
      </c>
      <c r="V201" s="14">
        <v>95174.704070000007</v>
      </c>
      <c r="W201" s="16">
        <f t="shared" si="139"/>
        <v>0.37328310549441457</v>
      </c>
      <c r="X201" s="14">
        <f t="shared" si="133"/>
        <v>11.463469471920936</v>
      </c>
      <c r="Y201" s="14">
        <v>1.9</v>
      </c>
      <c r="Z201" s="16">
        <f t="shared" si="140"/>
        <v>-0.54565832425033156</v>
      </c>
      <c r="AA201" s="14">
        <f t="shared" si="141"/>
        <v>0.64185388617239469</v>
      </c>
      <c r="AB201" s="14">
        <v>56761</v>
      </c>
      <c r="AC201" s="17">
        <v>2195</v>
      </c>
      <c r="AD201" s="14">
        <f t="shared" si="134"/>
        <v>7.4351331210622583E-3</v>
      </c>
      <c r="AE201" s="14">
        <f t="shared" si="135"/>
        <v>-0.11997020419873636</v>
      </c>
      <c r="AF201" s="14">
        <f t="shared" si="142"/>
        <v>-3.239195513365882E-2</v>
      </c>
      <c r="AG201" s="14">
        <f t="shared" si="143"/>
        <v>-3.29281860328524E-2</v>
      </c>
      <c r="AH201" s="14">
        <f t="shared" si="144"/>
        <v>-0.32757725652536707</v>
      </c>
      <c r="AI201" s="14">
        <f t="shared" si="125"/>
        <v>0.12696764476392719</v>
      </c>
      <c r="AJ201" s="14">
        <f t="shared" si="126"/>
        <v>2.0323978327192738E-2</v>
      </c>
      <c r="AK201" s="14">
        <f t="shared" si="127"/>
        <v>-0.10000000000000009</v>
      </c>
      <c r="AL201" s="14">
        <f t="shared" si="128"/>
        <v>0.15700374886535151</v>
      </c>
    </row>
    <row r="202" spans="1:38" ht="17.25" customHeight="1" x14ac:dyDescent="0.2">
      <c r="A202" s="19" t="s">
        <v>5</v>
      </c>
      <c r="B202" s="19">
        <v>2014</v>
      </c>
      <c r="C202" s="14">
        <v>1</v>
      </c>
      <c r="D202" s="14">
        <v>0</v>
      </c>
      <c r="E202" s="14">
        <v>0</v>
      </c>
      <c r="F202" s="14">
        <v>1170</v>
      </c>
      <c r="G202" s="16">
        <f t="shared" si="136"/>
        <v>-0.52693507328145739</v>
      </c>
      <c r="H202" s="14">
        <f t="shared" si="129"/>
        <v>7.0647590277918022</v>
      </c>
      <c r="I202" s="17">
        <v>350363</v>
      </c>
      <c r="J202" s="15">
        <v>-607</v>
      </c>
      <c r="K202" s="14">
        <f t="shared" si="130"/>
        <v>-0.1732488875823075</v>
      </c>
      <c r="L202" s="16">
        <f t="shared" si="137"/>
        <v>-0.49251570299788822</v>
      </c>
      <c r="M202" s="14">
        <v>1.0281149308624065</v>
      </c>
      <c r="N202" s="16">
        <f t="shared" si="138"/>
        <v>6.0154245243822686E-2</v>
      </c>
      <c r="O202" s="14">
        <v>1.95</v>
      </c>
      <c r="P202" s="17">
        <v>0</v>
      </c>
      <c r="Q202" s="14">
        <v>37098</v>
      </c>
      <c r="R202" s="14">
        <f>[1]Feuil1!J236/panel_choc_taux_suisse_2014_202!Q202</f>
        <v>17111.767031466206</v>
      </c>
      <c r="S202" s="14">
        <v>39.200000000000003</v>
      </c>
      <c r="T202" s="17">
        <f t="shared" si="131"/>
        <v>-0.65643810348620946</v>
      </c>
      <c r="U202" s="17">
        <f t="shared" si="132"/>
        <v>-0.15330749361682774</v>
      </c>
      <c r="V202" s="14">
        <v>77966.804050000006</v>
      </c>
      <c r="W202" s="16">
        <f t="shared" si="139"/>
        <v>-0.60302640749995495</v>
      </c>
      <c r="X202" s="14">
        <f t="shared" si="133"/>
        <v>11.26403842598042</v>
      </c>
      <c r="Y202" s="14">
        <v>4.0999999999999996</v>
      </c>
      <c r="Z202" s="16">
        <f t="shared" si="140"/>
        <v>1.3494027654350953</v>
      </c>
      <c r="AA202" s="14">
        <f t="shared" si="141"/>
        <v>1.410986973710262</v>
      </c>
      <c r="AB202" s="14">
        <v>73690</v>
      </c>
      <c r="AC202" s="17">
        <v>2388</v>
      </c>
      <c r="AD202" s="14">
        <f t="shared" si="134"/>
        <v>6.8157881968130196E-3</v>
      </c>
      <c r="AE202" s="14">
        <f t="shared" si="135"/>
        <v>-0.40487279855151859</v>
      </c>
      <c r="AF202" s="14">
        <f t="shared" si="142"/>
        <v>0</v>
      </c>
      <c r="AG202" s="14">
        <f t="shared" si="143"/>
        <v>0</v>
      </c>
      <c r="AH202" s="14">
        <f t="shared" si="144"/>
        <v>5.5297297030243815E-3</v>
      </c>
      <c r="AI202" s="14">
        <v>0</v>
      </c>
      <c r="AJ202" s="14">
        <v>0</v>
      </c>
      <c r="AK202" s="14">
        <v>0</v>
      </c>
      <c r="AL202" s="14">
        <v>0</v>
      </c>
    </row>
    <row r="203" spans="1:38" ht="17.25" customHeight="1" x14ac:dyDescent="0.2">
      <c r="A203" s="19" t="s">
        <v>5</v>
      </c>
      <c r="B203" s="19">
        <v>2015</v>
      </c>
      <c r="C203" s="14">
        <v>1</v>
      </c>
      <c r="D203" s="14">
        <v>0</v>
      </c>
      <c r="E203" s="14">
        <v>0</v>
      </c>
      <c r="F203" s="14">
        <v>1142.67</v>
      </c>
      <c r="G203" s="16">
        <f t="shared" si="136"/>
        <v>-0.66547193171466301</v>
      </c>
      <c r="H203" s="14">
        <f t="shared" si="129"/>
        <v>7.0411229081981643</v>
      </c>
      <c r="I203" s="17">
        <v>351946</v>
      </c>
      <c r="J203" s="15">
        <v>-976</v>
      </c>
      <c r="K203" s="14">
        <f t="shared" si="130"/>
        <v>-0.27731526995618649</v>
      </c>
      <c r="L203" s="16">
        <f t="shared" si="137"/>
        <v>-0.81449544366699334</v>
      </c>
      <c r="M203" s="14">
        <v>1.0174024043472965</v>
      </c>
      <c r="N203" s="16">
        <f t="shared" si="138"/>
        <v>-0.38706256531446542</v>
      </c>
      <c r="O203" s="14">
        <v>1.84</v>
      </c>
      <c r="P203" s="17">
        <v>-0.10999999999999988</v>
      </c>
      <c r="Q203" s="14">
        <v>39514</v>
      </c>
      <c r="R203" s="14">
        <f>[1]Feuil1!J237/panel_choc_taux_suisse_2014_202!Q203</f>
        <v>16603.790742732534</v>
      </c>
      <c r="S203" s="14">
        <v>40.200000000000003</v>
      </c>
      <c r="T203" s="17">
        <f t="shared" si="131"/>
        <v>-0.66498048676932375</v>
      </c>
      <c r="U203" s="17">
        <f t="shared" si="132"/>
        <v>-5.2345111802300288E-2</v>
      </c>
      <c r="V203" s="14">
        <v>78278.671270000006</v>
      </c>
      <c r="W203" s="16">
        <f t="shared" si="139"/>
        <v>-0.58533227089274409</v>
      </c>
      <c r="X203" s="14">
        <f t="shared" si="133"/>
        <v>11.268030447298502</v>
      </c>
      <c r="Y203" s="14">
        <v>3.7</v>
      </c>
      <c r="Z203" s="16">
        <f t="shared" si="140"/>
        <v>1.004846203674109</v>
      </c>
      <c r="AA203" s="14">
        <f t="shared" si="141"/>
        <v>1.3083328196501789</v>
      </c>
      <c r="AB203" s="14">
        <v>75549</v>
      </c>
      <c r="AC203" s="17">
        <v>2492</v>
      </c>
      <c r="AD203" s="14">
        <f t="shared" si="134"/>
        <v>7.0806316878157449E-3</v>
      </c>
      <c r="AE203" s="14">
        <f t="shared" si="135"/>
        <v>-0.35866279928581202</v>
      </c>
      <c r="AF203" s="14">
        <f t="shared" si="142"/>
        <v>3.9452907921439274E-2</v>
      </c>
      <c r="AG203" s="14">
        <f t="shared" si="143"/>
        <v>3.8694524664857531E-2</v>
      </c>
      <c r="AH203" s="14">
        <f t="shared" si="144"/>
        <v>0.41124896466210348</v>
      </c>
      <c r="AI203" s="14">
        <f t="shared" ref="AI203:AI211" si="145">LN(F203)-LN(F202)</f>
        <v>-2.3636119593637872E-2</v>
      </c>
      <c r="AJ203" s="14">
        <f t="shared" ref="AJ203:AJ211" si="146">K203-K202</f>
        <v>-0.104066382373879</v>
      </c>
      <c r="AK203" s="14">
        <f t="shared" ref="AK203:AK211" si="147">Y203-Y202</f>
        <v>-0.39999999999999947</v>
      </c>
      <c r="AL203" s="14">
        <f t="shared" ref="AL203:AL211" si="148">LN(V203)-LN(V202)</f>
        <v>3.9920213180817399E-3</v>
      </c>
    </row>
    <row r="204" spans="1:38" ht="17.25" customHeight="1" x14ac:dyDescent="0.2">
      <c r="A204" s="19" t="s">
        <v>5</v>
      </c>
      <c r="B204" s="19">
        <v>2016</v>
      </c>
      <c r="C204" s="14">
        <v>1</v>
      </c>
      <c r="D204" s="14">
        <v>0</v>
      </c>
      <c r="E204" s="14">
        <v>0</v>
      </c>
      <c r="F204" s="14">
        <v>1163.83</v>
      </c>
      <c r="G204" s="16">
        <f t="shared" si="136"/>
        <v>-0.55821104900530993</v>
      </c>
      <c r="H204" s="14">
        <f t="shared" si="129"/>
        <v>7.0594715695153534</v>
      </c>
      <c r="I204" s="17">
        <v>354375</v>
      </c>
      <c r="J204" s="15">
        <v>-798</v>
      </c>
      <c r="K204" s="14">
        <f t="shared" si="130"/>
        <v>-0.22518518518518515</v>
      </c>
      <c r="L204" s="16">
        <f t="shared" si="137"/>
        <v>-0.653205786116271</v>
      </c>
      <c r="M204" s="14">
        <v>0.98347652295718835</v>
      </c>
      <c r="N204" s="16">
        <f t="shared" si="138"/>
        <v>-1.8033693953850858</v>
      </c>
      <c r="O204" s="14">
        <v>1.71</v>
      </c>
      <c r="P204" s="17">
        <v>-0.13000000000000012</v>
      </c>
      <c r="Q204" s="14">
        <v>39739</v>
      </c>
      <c r="R204" s="14">
        <f>[1]Feuil1!J238/panel_choc_taux_suisse_2014_202!Q204</f>
        <v>17000.505571772483</v>
      </c>
      <c r="S204" s="14">
        <v>40</v>
      </c>
      <c r="T204" s="17">
        <f t="shared" si="131"/>
        <v>-0.65830913182832351</v>
      </c>
      <c r="U204" s="17">
        <f t="shared" si="132"/>
        <v>-7.2537588165206071E-2</v>
      </c>
      <c r="V204" s="14">
        <v>78826.621969999993</v>
      </c>
      <c r="W204" s="16">
        <f t="shared" si="139"/>
        <v>-0.55424367318819334</v>
      </c>
      <c r="X204" s="14">
        <f t="shared" si="133"/>
        <v>11.275006061049007</v>
      </c>
      <c r="Y204" s="14">
        <v>3.5</v>
      </c>
      <c r="Z204" s="16">
        <f t="shared" si="140"/>
        <v>0.83256792279361558</v>
      </c>
      <c r="AA204" s="14">
        <f t="shared" si="141"/>
        <v>1.2527629684953681</v>
      </c>
      <c r="AB204" s="14">
        <v>76731</v>
      </c>
      <c r="AC204" s="17">
        <v>2280</v>
      </c>
      <c r="AD204" s="14">
        <f t="shared" si="134"/>
        <v>6.4338624338624341E-3</v>
      </c>
      <c r="AE204" s="14">
        <f t="shared" si="135"/>
        <v>-0.36542335999676478</v>
      </c>
      <c r="AF204" s="14">
        <f t="shared" si="142"/>
        <v>4.7505036799579466E-2</v>
      </c>
      <c r="AG204" s="14">
        <f t="shared" si="143"/>
        <v>4.641118120314866E-2</v>
      </c>
      <c r="AH204" s="14">
        <f t="shared" si="144"/>
        <v>0.49405410477335149</v>
      </c>
      <c r="AI204" s="14">
        <f t="shared" si="145"/>
        <v>1.8348661317189041E-2</v>
      </c>
      <c r="AJ204" s="14">
        <f t="shared" si="146"/>
        <v>5.2130084771001339E-2</v>
      </c>
      <c r="AK204" s="14">
        <f t="shared" si="147"/>
        <v>-0.20000000000000018</v>
      </c>
      <c r="AL204" s="14">
        <f t="shared" si="148"/>
        <v>6.9756137505052607E-3</v>
      </c>
    </row>
    <row r="205" spans="1:38" ht="17.25" customHeight="1" x14ac:dyDescent="0.2">
      <c r="A205" s="19" t="s">
        <v>5</v>
      </c>
      <c r="B205" s="19">
        <v>2017</v>
      </c>
      <c r="C205" s="14">
        <v>1</v>
      </c>
      <c r="D205" s="14">
        <v>0</v>
      </c>
      <c r="E205" s="14">
        <v>0</v>
      </c>
      <c r="F205" s="14">
        <v>1154.5</v>
      </c>
      <c r="G205" s="16">
        <f t="shared" si="136"/>
        <v>-0.60550519057800678</v>
      </c>
      <c r="H205" s="14">
        <f t="shared" si="129"/>
        <v>7.0514226287945503</v>
      </c>
      <c r="I205" s="17">
        <v>353709</v>
      </c>
      <c r="J205" s="15">
        <v>-743</v>
      </c>
      <c r="K205" s="14">
        <f t="shared" si="130"/>
        <v>-0.21005968182884802</v>
      </c>
      <c r="L205" s="16">
        <f t="shared" si="137"/>
        <v>-0.60640771802674809</v>
      </c>
      <c r="M205" s="14">
        <v>1.0635156673797794</v>
      </c>
      <c r="N205" s="16">
        <f t="shared" si="138"/>
        <v>1.5380319853253162</v>
      </c>
      <c r="O205" s="14">
        <v>1.56</v>
      </c>
      <c r="P205" s="17">
        <v>-0.14999999999999991</v>
      </c>
      <c r="Q205" s="14">
        <v>40531</v>
      </c>
      <c r="R205" s="14">
        <f>[1]Feuil1!J239/panel_choc_taux_suisse_2014_202!Q205</f>
        <v>17082.541986791999</v>
      </c>
      <c r="S205" s="14">
        <v>40.5</v>
      </c>
      <c r="T205" s="17">
        <f t="shared" si="131"/>
        <v>-0.65692956645133249</v>
      </c>
      <c r="U205" s="17">
        <f t="shared" si="132"/>
        <v>-2.205639725794234E-2</v>
      </c>
      <c r="V205" s="14">
        <v>79141.928450000007</v>
      </c>
      <c r="W205" s="16">
        <f t="shared" si="139"/>
        <v>-0.5363544063064124</v>
      </c>
      <c r="X205" s="14">
        <f t="shared" si="133"/>
        <v>11.278998082218978</v>
      </c>
      <c r="Y205" s="14">
        <v>3.3</v>
      </c>
      <c r="Z205" s="16">
        <f t="shared" si="140"/>
        <v>0.66028964191312201</v>
      </c>
      <c r="AA205" s="14">
        <f t="shared" si="141"/>
        <v>1.1939224684724346</v>
      </c>
      <c r="AB205" s="14">
        <v>78899</v>
      </c>
      <c r="AC205" s="17">
        <v>2538</v>
      </c>
      <c r="AD205" s="14">
        <f t="shared" si="134"/>
        <v>7.1753899391872981E-3</v>
      </c>
      <c r="AE205" s="14">
        <f t="shared" si="135"/>
        <v>-0.33949298185463739</v>
      </c>
      <c r="AF205" s="14">
        <f t="shared" si="142"/>
        <v>5.0923947278195575E-2</v>
      </c>
      <c r="AG205" s="14">
        <f t="shared" si="143"/>
        <v>4.9669727029342914E-2</v>
      </c>
      <c r="AH205" s="14">
        <f t="shared" si="144"/>
        <v>0.52921292618493943</v>
      </c>
      <c r="AI205" s="14">
        <f t="shared" si="145"/>
        <v>-8.0489407208030883E-3</v>
      </c>
      <c r="AJ205" s="14">
        <f t="shared" si="146"/>
        <v>1.5125503356337139E-2</v>
      </c>
      <c r="AK205" s="14">
        <f t="shared" si="147"/>
        <v>-0.20000000000000018</v>
      </c>
      <c r="AL205" s="14">
        <f t="shared" si="148"/>
        <v>3.992021169970883E-3</v>
      </c>
    </row>
    <row r="206" spans="1:38" ht="17.25" customHeight="1" x14ac:dyDescent="0.2">
      <c r="A206" s="19" t="s">
        <v>5</v>
      </c>
      <c r="B206" s="19">
        <v>2018</v>
      </c>
      <c r="C206" s="14">
        <v>1</v>
      </c>
      <c r="D206" s="14">
        <v>0</v>
      </c>
      <c r="E206" s="14">
        <v>0</v>
      </c>
      <c r="F206" s="14">
        <v>1184</v>
      </c>
      <c r="G206" s="16">
        <f t="shared" si="136"/>
        <v>-0.45596851572328378</v>
      </c>
      <c r="H206" s="14">
        <f t="shared" si="129"/>
        <v>7.0766538154439509</v>
      </c>
      <c r="I206" s="17">
        <v>353343</v>
      </c>
      <c r="J206" s="15">
        <v>-731</v>
      </c>
      <c r="K206" s="14">
        <f t="shared" si="130"/>
        <v>-0.20688113249731849</v>
      </c>
      <c r="L206" s="16">
        <f t="shared" si="137"/>
        <v>-0.59657333668164703</v>
      </c>
      <c r="M206" s="14">
        <v>1.0301138707197743</v>
      </c>
      <c r="N206" s="16">
        <f t="shared" si="138"/>
        <v>0.14360416774800241</v>
      </c>
      <c r="O206" s="14">
        <v>1.5</v>
      </c>
      <c r="P206" s="17">
        <v>-6.0000000000000053E-2</v>
      </c>
      <c r="Q206" s="14">
        <v>40999</v>
      </c>
      <c r="R206" s="14">
        <f>[1]Feuil1!J240/panel_choc_taux_suisse_2014_202!Q206</f>
        <v>17337.962882428026</v>
      </c>
      <c r="S206" s="14">
        <v>39.6</v>
      </c>
      <c r="T206" s="17">
        <f t="shared" si="131"/>
        <v>-0.65263428094799047</v>
      </c>
      <c r="U206" s="17">
        <f t="shared" si="132"/>
        <v>-0.11292254089101691</v>
      </c>
      <c r="V206" s="14">
        <v>79537.638099999996</v>
      </c>
      <c r="W206" s="16">
        <f t="shared" si="139"/>
        <v>-0.51390337537122321</v>
      </c>
      <c r="X206" s="14">
        <f t="shared" si="133"/>
        <v>11.283985623827455</v>
      </c>
      <c r="Y206" s="14">
        <v>2.9</v>
      </c>
      <c r="Z206" s="16">
        <f t="shared" si="140"/>
        <v>0.3157330801521353</v>
      </c>
      <c r="AA206" s="14">
        <f t="shared" si="141"/>
        <v>1.0647107369924282</v>
      </c>
      <c r="AB206" s="14">
        <v>79895</v>
      </c>
      <c r="AC206" s="17">
        <v>2018</v>
      </c>
      <c r="AD206" s="14">
        <f t="shared" si="134"/>
        <v>5.7111645058767263E-3</v>
      </c>
      <c r="AE206" s="14">
        <f t="shared" si="135"/>
        <v>-0.38277841091950371</v>
      </c>
      <c r="AF206" s="14">
        <f t="shared" si="142"/>
        <v>2.2966704655170242E-2</v>
      </c>
      <c r="AG206" s="14">
        <f t="shared" si="143"/>
        <v>2.270693967069231E-2</v>
      </c>
      <c r="AH206" s="14">
        <f t="shared" si="144"/>
        <v>0.2417108969006706</v>
      </c>
      <c r="AI206" s="14">
        <f t="shared" si="145"/>
        <v>2.5231186649400605E-2</v>
      </c>
      <c r="AJ206" s="14">
        <f t="shared" si="146"/>
        <v>3.1785493315295288E-3</v>
      </c>
      <c r="AK206" s="14">
        <f t="shared" si="147"/>
        <v>-0.39999999999999991</v>
      </c>
      <c r="AL206" s="14">
        <f t="shared" si="148"/>
        <v>4.9875416084770308E-3</v>
      </c>
    </row>
    <row r="207" spans="1:38" ht="17.25" customHeight="1" x14ac:dyDescent="0.2">
      <c r="A207" s="19" t="s">
        <v>5</v>
      </c>
      <c r="B207" s="19">
        <v>2019</v>
      </c>
      <c r="C207" s="14">
        <v>1</v>
      </c>
      <c r="D207" s="14">
        <v>0</v>
      </c>
      <c r="E207" s="14">
        <v>0</v>
      </c>
      <c r="F207" s="14">
        <v>1200.17</v>
      </c>
      <c r="G207" s="16">
        <f t="shared" si="136"/>
        <v>-0.37400214174359298</v>
      </c>
      <c r="H207" s="14">
        <f t="shared" si="129"/>
        <v>7.0902184924089839</v>
      </c>
      <c r="I207" s="17">
        <v>351491</v>
      </c>
      <c r="J207" s="15">
        <v>-793</v>
      </c>
      <c r="K207" s="14">
        <f t="shared" si="130"/>
        <v>-0.22561032857171306</v>
      </c>
      <c r="L207" s="16">
        <f t="shared" si="137"/>
        <v>-0.65452117302815238</v>
      </c>
      <c r="M207" s="14">
        <v>1.036888899675622</v>
      </c>
      <c r="N207" s="16">
        <f t="shared" si="138"/>
        <v>0.42644191258817377</v>
      </c>
      <c r="O207" s="14">
        <v>1.43</v>
      </c>
      <c r="P207" s="17">
        <v>-7.0000000000000062E-2</v>
      </c>
      <c r="Q207" s="14">
        <v>39474</v>
      </c>
      <c r="R207" s="14">
        <f>[1]Feuil1!J241/panel_choc_taux_suisse_2014_202!Q207</f>
        <v>18497.409769299622</v>
      </c>
      <c r="S207" s="14">
        <v>38.1</v>
      </c>
      <c r="T207" s="17">
        <f t="shared" si="131"/>
        <v>-0.63313644232099209</v>
      </c>
      <c r="U207" s="17">
        <f t="shared" si="132"/>
        <v>-0.2643661136128081</v>
      </c>
      <c r="V207" s="14">
        <v>80253</v>
      </c>
      <c r="W207" s="16">
        <f t="shared" si="139"/>
        <v>-0.47331651541783015</v>
      </c>
      <c r="X207" s="14">
        <f t="shared" si="133"/>
        <v>11.292939423471099</v>
      </c>
      <c r="Y207" s="14">
        <v>2.8</v>
      </c>
      <c r="Z207" s="16">
        <f t="shared" si="140"/>
        <v>0.22959393971188854</v>
      </c>
      <c r="AA207" s="14">
        <f t="shared" si="141"/>
        <v>1.0296194171811581</v>
      </c>
      <c r="AB207" s="14">
        <v>80718</v>
      </c>
      <c r="AC207" s="17">
        <v>2402</v>
      </c>
      <c r="AD207" s="14">
        <f t="shared" si="134"/>
        <v>6.833745387506366E-3</v>
      </c>
      <c r="AE207" s="14">
        <f t="shared" si="135"/>
        <v>-0.44875127796690006</v>
      </c>
      <c r="AF207" s="14">
        <f t="shared" si="142"/>
        <v>3.1412589457683035E-2</v>
      </c>
      <c r="AG207" s="14">
        <f t="shared" si="143"/>
        <v>3.0929308743747226E-2</v>
      </c>
      <c r="AH207" s="14">
        <f t="shared" si="144"/>
        <v>0.32856527852068568</v>
      </c>
      <c r="AI207" s="14">
        <f t="shared" si="145"/>
        <v>1.3564676965033051E-2</v>
      </c>
      <c r="AJ207" s="14">
        <f t="shared" si="146"/>
        <v>-1.8729196074394577E-2</v>
      </c>
      <c r="AK207" s="14">
        <f t="shared" si="147"/>
        <v>-0.10000000000000009</v>
      </c>
      <c r="AL207" s="14">
        <f t="shared" si="148"/>
        <v>8.9537996436437339E-3</v>
      </c>
    </row>
    <row r="208" spans="1:38" ht="17.25" customHeight="1" x14ac:dyDescent="0.2">
      <c r="A208" s="19" t="s">
        <v>5</v>
      </c>
      <c r="B208" s="19">
        <v>2020</v>
      </c>
      <c r="C208" s="14">
        <v>1</v>
      </c>
      <c r="D208" s="14">
        <v>0</v>
      </c>
      <c r="E208" s="14">
        <v>0</v>
      </c>
      <c r="F208" s="14">
        <v>1220</v>
      </c>
      <c r="G208" s="16">
        <f t="shared" si="136"/>
        <v>-0.27348308200226601</v>
      </c>
      <c r="H208" s="14">
        <f t="shared" si="129"/>
        <v>7.1066061377273027</v>
      </c>
      <c r="I208" s="17">
        <v>350986</v>
      </c>
      <c r="J208" s="15">
        <v>-669</v>
      </c>
      <c r="K208" s="14">
        <f t="shared" si="130"/>
        <v>-0.1906058931125458</v>
      </c>
      <c r="L208" s="16">
        <f t="shared" si="137"/>
        <v>-0.5462180035096923</v>
      </c>
      <c r="M208" s="14">
        <v>1.0413346451454319</v>
      </c>
      <c r="N208" s="16">
        <f t="shared" si="138"/>
        <v>0.61203884966534006</v>
      </c>
      <c r="O208" s="14">
        <v>1.33</v>
      </c>
      <c r="P208" s="17">
        <v>-9.9999999999999867E-2</v>
      </c>
      <c r="Q208" s="14">
        <v>41288</v>
      </c>
      <c r="R208" s="14">
        <f>[1]Feuil1!J242/panel_choc_taux_suisse_2014_202!Q208</f>
        <v>18150.958322636117</v>
      </c>
      <c r="S208" s="14">
        <v>39.200000000000003</v>
      </c>
      <c r="T208" s="17">
        <f t="shared" si="131"/>
        <v>-0.63896254308992129</v>
      </c>
      <c r="U208" s="17">
        <f t="shared" si="132"/>
        <v>-0.15330749361682774</v>
      </c>
      <c r="V208" s="14">
        <v>80895.504650000003</v>
      </c>
      <c r="W208" s="16">
        <f t="shared" si="139"/>
        <v>-0.43686329328095952</v>
      </c>
      <c r="X208" s="14">
        <f t="shared" si="133"/>
        <v>11.30091353475362</v>
      </c>
      <c r="Y208" s="14">
        <v>3.7</v>
      </c>
      <c r="Z208" s="16">
        <f t="shared" si="140"/>
        <v>1.004846203674109</v>
      </c>
      <c r="AA208" s="14">
        <f t="shared" si="141"/>
        <v>1.3083328196501789</v>
      </c>
      <c r="AB208" s="14">
        <v>81011</v>
      </c>
      <c r="AC208" s="17">
        <v>2531</v>
      </c>
      <c r="AD208" s="14">
        <f t="shared" si="134"/>
        <v>7.2111138336002009E-3</v>
      </c>
      <c r="AE208" s="14">
        <f t="shared" si="135"/>
        <v>-0.3961350183533745</v>
      </c>
      <c r="AF208" s="14">
        <f t="shared" si="142"/>
        <v>3.9613501835337399E-2</v>
      </c>
      <c r="AG208" s="14">
        <f t="shared" si="143"/>
        <v>3.8849011230042724E-2</v>
      </c>
      <c r="AH208" s="14">
        <f t="shared" si="144"/>
        <v>0.41290045357175681</v>
      </c>
      <c r="AI208" s="14">
        <f t="shared" si="145"/>
        <v>1.6387645318318711E-2</v>
      </c>
      <c r="AJ208" s="14">
        <f t="shared" si="146"/>
        <v>3.500443545916726E-2</v>
      </c>
      <c r="AK208" s="14">
        <f t="shared" si="147"/>
        <v>0.90000000000000036</v>
      </c>
      <c r="AL208" s="14">
        <f t="shared" si="148"/>
        <v>7.9741112825217897E-3</v>
      </c>
    </row>
    <row r="209" spans="1:38" ht="17.25" customHeight="1" x14ac:dyDescent="0.2">
      <c r="A209" s="19" t="s">
        <v>5</v>
      </c>
      <c r="B209" s="19">
        <v>2021</v>
      </c>
      <c r="C209" s="14">
        <v>1</v>
      </c>
      <c r="D209" s="14">
        <v>0</v>
      </c>
      <c r="E209" s="14">
        <v>0</v>
      </c>
      <c r="F209" s="14">
        <v>1218.83</v>
      </c>
      <c r="G209" s="16">
        <f t="shared" si="136"/>
        <v>-0.27941385859819945</v>
      </c>
      <c r="H209" s="14">
        <f t="shared" si="129"/>
        <v>7.1056466611834201</v>
      </c>
      <c r="I209" s="17">
        <v>352181</v>
      </c>
      <c r="J209" s="15">
        <v>-26</v>
      </c>
      <c r="K209" s="14">
        <f t="shared" si="130"/>
        <v>-7.3825674866048992E-3</v>
      </c>
      <c r="L209" s="16">
        <f t="shared" si="137"/>
        <v>2.0672067268622935E-2</v>
      </c>
      <c r="M209" s="14">
        <v>1.0457435779736526</v>
      </c>
      <c r="N209" s="16">
        <f t="shared" si="138"/>
        <v>0.79609896607405228</v>
      </c>
      <c r="O209" s="14">
        <v>1.25</v>
      </c>
      <c r="P209" s="17">
        <v>-8.0000000000000071E-2</v>
      </c>
      <c r="Q209" s="14">
        <v>41334</v>
      </c>
      <c r="R209" s="14">
        <f>[1]Feuil1!J243/panel_choc_taux_suisse_2014_202!Q209</f>
        <v>18704.935066773112</v>
      </c>
      <c r="S209" s="14">
        <v>38.799999999999997</v>
      </c>
      <c r="T209" s="17">
        <f t="shared" si="131"/>
        <v>-0.62964659314637772</v>
      </c>
      <c r="U209" s="17">
        <f t="shared" si="132"/>
        <v>-0.1936924463426393</v>
      </c>
      <c r="V209" s="14">
        <v>80733.713640000002</v>
      </c>
      <c r="W209" s="16">
        <f t="shared" si="139"/>
        <v>-0.44604268774491967</v>
      </c>
      <c r="X209" s="14">
        <f t="shared" si="133"/>
        <v>11.298911532074278</v>
      </c>
      <c r="Y209" s="14">
        <v>3.2</v>
      </c>
      <c r="Z209" s="16">
        <f t="shared" si="140"/>
        <v>0.57415050147287561</v>
      </c>
      <c r="AA209" s="14">
        <f t="shared" si="141"/>
        <v>1.1631508098056809</v>
      </c>
      <c r="AB209" s="14">
        <v>82355</v>
      </c>
      <c r="AC209" s="17">
        <v>2116</v>
      </c>
      <c r="AD209" s="14">
        <f t="shared" si="134"/>
        <v>6.0082741544830644E-3</v>
      </c>
      <c r="AE209" s="14">
        <f t="shared" si="135"/>
        <v>-0.41166951974450849</v>
      </c>
      <c r="AF209" s="14">
        <f t="shared" si="142"/>
        <v>3.2933561579560712E-2</v>
      </c>
      <c r="AG209" s="14">
        <f t="shared" si="143"/>
        <v>3.2402872076458547E-2</v>
      </c>
      <c r="AH209" s="14">
        <f t="shared" si="144"/>
        <v>0.34420639797659691</v>
      </c>
      <c r="AI209" s="14">
        <f t="shared" si="145"/>
        <v>-9.5947654388250925E-4</v>
      </c>
      <c r="AJ209" s="14">
        <f t="shared" si="146"/>
        <v>0.1832233256259409</v>
      </c>
      <c r="AK209" s="14">
        <f t="shared" si="147"/>
        <v>-0.5</v>
      </c>
      <c r="AL209" s="14">
        <f t="shared" si="148"/>
        <v>-2.0020026793421408E-3</v>
      </c>
    </row>
    <row r="210" spans="1:38" ht="17.25" customHeight="1" x14ac:dyDescent="0.2">
      <c r="A210" s="19" t="s">
        <v>5</v>
      </c>
      <c r="B210" s="19">
        <v>2022</v>
      </c>
      <c r="C210" s="14">
        <v>1</v>
      </c>
      <c r="D210" s="14">
        <v>0</v>
      </c>
      <c r="E210" s="14">
        <v>0</v>
      </c>
      <c r="F210" s="14">
        <v>1224.67</v>
      </c>
      <c r="G210" s="16">
        <f t="shared" si="136"/>
        <v>-0.24981066601678917</v>
      </c>
      <c r="H210" s="14">
        <f t="shared" si="129"/>
        <v>7.1104266989323266</v>
      </c>
      <c r="I210" s="17">
        <v>354023</v>
      </c>
      <c r="J210" s="15">
        <v>281</v>
      </c>
      <c r="K210" s="14">
        <f t="shared" si="130"/>
        <v>7.9373374046319028E-2</v>
      </c>
      <c r="L210" s="16">
        <f t="shared" si="137"/>
        <v>0.28909357783788375</v>
      </c>
      <c r="M210" s="14">
        <v>0.98600652141555722</v>
      </c>
      <c r="N210" s="16">
        <f t="shared" si="138"/>
        <v>-1.6977493215702677</v>
      </c>
      <c r="O210" s="14">
        <v>1.21</v>
      </c>
      <c r="P210" s="17">
        <v>-4.0000000000000036E-2</v>
      </c>
      <c r="Q210" s="14">
        <v>40268</v>
      </c>
      <c r="R210" s="14">
        <f>[1]Feuil1!J244/panel_choc_taux_suisse_2014_202!Q210</f>
        <v>19770.847756696799</v>
      </c>
      <c r="S210" s="14">
        <v>39</v>
      </c>
      <c r="T210" s="17">
        <f t="shared" si="131"/>
        <v>-0.61172167234670383</v>
      </c>
      <c r="U210" s="17">
        <f t="shared" si="132"/>
        <v>-0.17349996997973352</v>
      </c>
      <c r="V210" s="14">
        <v>81460.317070000005</v>
      </c>
      <c r="W210" s="16">
        <f t="shared" si="139"/>
        <v>-0.4048180269752239</v>
      </c>
      <c r="X210" s="14">
        <f t="shared" si="133"/>
        <v>11.307871273534627</v>
      </c>
      <c r="Y210" s="14">
        <v>2.6</v>
      </c>
      <c r="Z210" s="16">
        <f t="shared" si="140"/>
        <v>5.7315658831395402E-2</v>
      </c>
      <c r="AA210" s="14">
        <f t="shared" si="141"/>
        <v>0.95551144502743635</v>
      </c>
      <c r="AB210" s="14">
        <v>83490</v>
      </c>
      <c r="AC210" s="17">
        <v>1724</v>
      </c>
      <c r="AD210" s="14">
        <f t="shared" si="134"/>
        <v>4.8697401016318149E-3</v>
      </c>
      <c r="AE210" s="14">
        <f t="shared" si="135"/>
        <v>-0.39261082116321866</v>
      </c>
      <c r="AF210" s="14">
        <f t="shared" si="142"/>
        <v>1.5704432846528761E-2</v>
      </c>
      <c r="AG210" s="14">
        <f t="shared" si="143"/>
        <v>1.5582394280395914E-2</v>
      </c>
      <c r="AH210" s="14">
        <f t="shared" si="144"/>
        <v>0.16702835719703144</v>
      </c>
      <c r="AI210" s="14">
        <f t="shared" si="145"/>
        <v>4.7800377489064516E-3</v>
      </c>
      <c r="AJ210" s="14">
        <f t="shared" si="146"/>
        <v>8.675594153292393E-2</v>
      </c>
      <c r="AK210" s="14">
        <f t="shared" si="147"/>
        <v>-0.60000000000000009</v>
      </c>
      <c r="AL210" s="14">
        <f t="shared" si="148"/>
        <v>8.9597414603481695E-3</v>
      </c>
    </row>
    <row r="211" spans="1:38" ht="17.25" customHeight="1" x14ac:dyDescent="0.2">
      <c r="A211" s="19" t="s">
        <v>5</v>
      </c>
      <c r="B211" s="19">
        <v>2023</v>
      </c>
      <c r="C211" s="14">
        <v>1</v>
      </c>
      <c r="D211" s="14">
        <v>0</v>
      </c>
      <c r="E211" s="14">
        <v>0</v>
      </c>
      <c r="F211" s="14">
        <v>1383.57</v>
      </c>
      <c r="G211" s="16">
        <f t="shared" si="136"/>
        <v>0.55565976226848035</v>
      </c>
      <c r="H211" s="14">
        <f t="shared" si="129"/>
        <v>7.2324223942607277</v>
      </c>
      <c r="I211" s="17">
        <v>357720</v>
      </c>
      <c r="J211" s="15">
        <v>-145</v>
      </c>
      <c r="K211" s="14">
        <f t="shared" si="130"/>
        <v>-4.0534496254053448E-2</v>
      </c>
      <c r="L211" s="16">
        <f t="shared" si="137"/>
        <v>-8.1899475853481452E-2</v>
      </c>
      <c r="M211" s="14">
        <v>1.0341430614279774</v>
      </c>
      <c r="N211" s="16">
        <f t="shared" si="138"/>
        <v>0.31181115562449047</v>
      </c>
      <c r="O211" s="14">
        <v>1.48</v>
      </c>
      <c r="P211" s="17">
        <v>0.27</v>
      </c>
      <c r="Q211" s="14">
        <v>41025</v>
      </c>
      <c r="R211" s="14">
        <f>[1]Feuil1!J245/panel_choc_taux_suisse_2014_202!Q211</f>
        <v>19819.33800345318</v>
      </c>
      <c r="S211" s="14">
        <v>38.200000000000003</v>
      </c>
      <c r="T211" s="17">
        <f t="shared" si="131"/>
        <v>-0.61090623610987005</v>
      </c>
      <c r="U211" s="17">
        <f t="shared" si="132"/>
        <v>-0.25426987543135521</v>
      </c>
      <c r="V211" s="14">
        <v>95308.570970000001</v>
      </c>
      <c r="W211" s="16">
        <f t="shared" si="139"/>
        <v>0.38087819424976282</v>
      </c>
      <c r="X211" s="14">
        <f t="shared" si="133"/>
        <v>11.464875022324357</v>
      </c>
      <c r="Y211" s="14">
        <v>2.4</v>
      </c>
      <c r="Z211" s="16">
        <f t="shared" si="140"/>
        <v>-0.11496262204909814</v>
      </c>
      <c r="AA211" s="14">
        <f t="shared" si="141"/>
        <v>0.87546873735389985</v>
      </c>
      <c r="AB211" s="14">
        <v>84665</v>
      </c>
      <c r="AC211" s="17">
        <v>1682</v>
      </c>
      <c r="AD211" s="14">
        <f t="shared" si="134"/>
        <v>4.7020015654702001E-3</v>
      </c>
      <c r="AE211" s="14">
        <f t="shared" si="135"/>
        <v>-0.43258805577061266</v>
      </c>
      <c r="AF211" s="14">
        <f t="shared" si="142"/>
        <v>-0.11679877505806542</v>
      </c>
      <c r="AG211" s="14">
        <f t="shared" si="143"/>
        <v>-0.1242022165242008</v>
      </c>
      <c r="AH211" s="14">
        <f t="shared" si="144"/>
        <v>-1.195586034819996</v>
      </c>
      <c r="AI211" s="14">
        <f t="shared" si="145"/>
        <v>0.12199569532840115</v>
      </c>
      <c r="AJ211" s="14">
        <f t="shared" si="146"/>
        <v>-0.11990787030037248</v>
      </c>
      <c r="AK211" s="14">
        <f t="shared" si="147"/>
        <v>-0.20000000000000018</v>
      </c>
      <c r="AL211" s="14">
        <f t="shared" si="148"/>
        <v>0.15700374878973022</v>
      </c>
    </row>
    <row r="212" spans="1:38" ht="17.25" customHeight="1" x14ac:dyDescent="0.2">
      <c r="A212" s="19" t="s">
        <v>4</v>
      </c>
      <c r="B212" s="19">
        <v>2014</v>
      </c>
      <c r="C212" s="14">
        <v>1</v>
      </c>
      <c r="D212" s="14">
        <v>0</v>
      </c>
      <c r="E212" s="14">
        <v>0</v>
      </c>
      <c r="F212" s="14">
        <v>1095.5</v>
      </c>
      <c r="G212" s="16">
        <f t="shared" si="136"/>
        <v>-0.90457854028745255</v>
      </c>
      <c r="H212" s="14">
        <f t="shared" si="129"/>
        <v>6.998966159035521</v>
      </c>
      <c r="I212" s="17">
        <v>36008</v>
      </c>
      <c r="J212" s="15">
        <v>-108</v>
      </c>
      <c r="K212" s="14">
        <f t="shared" si="130"/>
        <v>-0.29993334814485673</v>
      </c>
      <c r="L212" s="16">
        <f t="shared" si="137"/>
        <v>-0.88447541975050459</v>
      </c>
      <c r="M212" s="14">
        <v>1.0281149308624065</v>
      </c>
      <c r="N212" s="16">
        <f t="shared" si="138"/>
        <v>6.0154245243822686E-2</v>
      </c>
      <c r="O212" s="14">
        <v>1.95</v>
      </c>
      <c r="P212" s="17">
        <v>0</v>
      </c>
      <c r="Q212" s="14">
        <v>64587</v>
      </c>
      <c r="R212" s="14">
        <f>[1]Feuil1!J246/panel_choc_taux_suisse_2014_202!Q212</f>
        <v>9828.7942361982041</v>
      </c>
      <c r="S212" s="14">
        <v>31.2</v>
      </c>
      <c r="T212" s="17">
        <f t="shared" si="131"/>
        <v>-0.77891221583654202</v>
      </c>
      <c r="U212" s="17">
        <f t="shared" si="132"/>
        <v>-0.96100654813304776</v>
      </c>
      <c r="V212" s="14">
        <v>72042.459969999996</v>
      </c>
      <c r="W212" s="16">
        <f t="shared" si="139"/>
        <v>-0.93915071533725059</v>
      </c>
      <c r="X212" s="14">
        <f t="shared" si="133"/>
        <v>11.185010945986177</v>
      </c>
      <c r="Y212" s="14">
        <v>1.1000000000000001</v>
      </c>
      <c r="Z212" s="16">
        <f t="shared" si="140"/>
        <v>-1.2347714477723051</v>
      </c>
      <c r="AA212" s="14">
        <f t="shared" si="141"/>
        <v>9.5310179804324935E-2</v>
      </c>
      <c r="AB212" s="14">
        <v>6776</v>
      </c>
      <c r="AC212" s="17">
        <v>274</v>
      </c>
      <c r="AD212" s="14">
        <f t="shared" si="134"/>
        <v>7.6094201288602536E-3</v>
      </c>
      <c r="AE212" s="14">
        <f t="shared" si="135"/>
        <v>-0.86995938198479483</v>
      </c>
      <c r="AF212" s="14">
        <f t="shared" si="142"/>
        <v>0</v>
      </c>
      <c r="AG212" s="14">
        <f t="shared" si="143"/>
        <v>0</v>
      </c>
      <c r="AH212" s="14">
        <f t="shared" si="144"/>
        <v>5.5297297030243815E-3</v>
      </c>
      <c r="AI212" s="14">
        <v>0</v>
      </c>
      <c r="AJ212" s="14">
        <v>0</v>
      </c>
      <c r="AK212" s="14">
        <v>0</v>
      </c>
      <c r="AL212" s="14">
        <v>0</v>
      </c>
    </row>
    <row r="213" spans="1:38" ht="17.25" customHeight="1" x14ac:dyDescent="0.2">
      <c r="A213" s="19" t="s">
        <v>4</v>
      </c>
      <c r="B213" s="19">
        <v>2015</v>
      </c>
      <c r="C213" s="14">
        <v>1</v>
      </c>
      <c r="D213" s="14">
        <v>0</v>
      </c>
      <c r="E213" s="14">
        <v>0</v>
      </c>
      <c r="F213" s="14">
        <v>1079.33</v>
      </c>
      <c r="G213" s="16">
        <f t="shared" si="136"/>
        <v>-0.98654491426714341</v>
      </c>
      <c r="H213" s="14">
        <f t="shared" si="129"/>
        <v>6.9840957572385749</v>
      </c>
      <c r="I213" s="17">
        <v>35973</v>
      </c>
      <c r="J213" s="15">
        <v>-121</v>
      </c>
      <c r="K213" s="14">
        <f t="shared" si="130"/>
        <v>-0.33636338364884777</v>
      </c>
      <c r="L213" s="16">
        <f t="shared" si="137"/>
        <v>-0.99718937325375945</v>
      </c>
      <c r="M213" s="14">
        <v>1.0174024043472965</v>
      </c>
      <c r="N213" s="16">
        <f t="shared" si="138"/>
        <v>-0.38706256531446542</v>
      </c>
      <c r="O213" s="14">
        <v>1.84</v>
      </c>
      <c r="P213" s="17">
        <v>-0.10999999999999988</v>
      </c>
      <c r="Q213" s="14">
        <v>65427</v>
      </c>
      <c r="R213" s="14">
        <f>[1]Feuil1!J247/panel_choc_taux_suisse_2014_202!Q213</f>
        <v>10027.697852695879</v>
      </c>
      <c r="S213" s="14">
        <v>31.7</v>
      </c>
      <c r="T213" s="17">
        <f t="shared" si="131"/>
        <v>-0.77556735316045855</v>
      </c>
      <c r="U213" s="17">
        <f t="shared" si="132"/>
        <v>-0.91052535722578409</v>
      </c>
      <c r="V213" s="14">
        <v>72330.629809999999</v>
      </c>
      <c r="W213" s="16">
        <f t="shared" si="139"/>
        <v>-0.9228010761701777</v>
      </c>
      <c r="X213" s="14">
        <f t="shared" si="133"/>
        <v>11.189002967257373</v>
      </c>
      <c r="Y213" s="14">
        <v>1</v>
      </c>
      <c r="Z213" s="16">
        <f t="shared" si="140"/>
        <v>-1.3209105882125518</v>
      </c>
      <c r="AA213" s="14">
        <f t="shared" si="141"/>
        <v>0</v>
      </c>
      <c r="AB213" s="14">
        <v>6904</v>
      </c>
      <c r="AC213" s="17">
        <v>203</v>
      </c>
      <c r="AD213" s="14">
        <f t="shared" si="134"/>
        <v>5.6431212298112474E-3</v>
      </c>
      <c r="AE213" s="14">
        <f t="shared" si="135"/>
        <v>-0.84304635519312132</v>
      </c>
      <c r="AF213" s="14">
        <f t="shared" si="142"/>
        <v>9.2735099071243235E-2</v>
      </c>
      <c r="AG213" s="14">
        <f t="shared" si="143"/>
        <v>8.8683818494662711E-2</v>
      </c>
      <c r="AH213" s="14">
        <f t="shared" si="144"/>
        <v>0.95918347618880784</v>
      </c>
      <c r="AI213" s="14">
        <f t="shared" ref="AI213:AI221" si="149">LN(F213)-LN(F212)</f>
        <v>-1.4870401796946098E-2</v>
      </c>
      <c r="AJ213" s="14">
        <f t="shared" ref="AJ213:AJ221" si="150">K213-K212</f>
        <v>-3.6430035503991043E-2</v>
      </c>
      <c r="AK213" s="14">
        <f t="shared" ref="AK213:AK221" si="151">Y213-Y212</f>
        <v>-0.10000000000000009</v>
      </c>
      <c r="AL213" s="14">
        <f t="shared" ref="AL213:AL221" si="152">LN(V213)-LN(V212)</f>
        <v>3.9920212711965775E-3</v>
      </c>
    </row>
    <row r="214" spans="1:38" ht="17.25" customHeight="1" x14ac:dyDescent="0.2">
      <c r="A214" s="19" t="s">
        <v>4</v>
      </c>
      <c r="B214" s="19">
        <v>2016</v>
      </c>
      <c r="C214" s="14">
        <v>1</v>
      </c>
      <c r="D214" s="14">
        <v>0</v>
      </c>
      <c r="E214" s="14">
        <v>0</v>
      </c>
      <c r="F214" s="14">
        <v>1070.83</v>
      </c>
      <c r="G214" s="16">
        <f t="shared" si="136"/>
        <v>-1.0296317527846059</v>
      </c>
      <c r="H214" s="14">
        <f t="shared" si="129"/>
        <v>6.9761893276900535</v>
      </c>
      <c r="I214" s="17">
        <v>36145</v>
      </c>
      <c r="J214" s="15">
        <v>-41</v>
      </c>
      <c r="K214" s="14">
        <f t="shared" si="130"/>
        <v>-0.1134320099598838</v>
      </c>
      <c r="L214" s="16">
        <f t="shared" si="137"/>
        <v>-0.30744322997476653</v>
      </c>
      <c r="M214" s="14">
        <v>0.98347652295718835</v>
      </c>
      <c r="N214" s="16">
        <f t="shared" si="138"/>
        <v>-1.8033693953850858</v>
      </c>
      <c r="O214" s="14">
        <v>1.71</v>
      </c>
      <c r="P214" s="17">
        <v>-0.13000000000000012</v>
      </c>
      <c r="Q214" s="14">
        <v>65999</v>
      </c>
      <c r="R214" s="14">
        <f>[1]Feuil1!J248/panel_choc_taux_suisse_2014_202!Q214</f>
        <v>10236.262533018176</v>
      </c>
      <c r="S214" s="14">
        <v>31.7</v>
      </c>
      <c r="T214" s="17">
        <f t="shared" si="131"/>
        <v>-0.77206002520411887</v>
      </c>
      <c r="U214" s="17">
        <f t="shared" si="132"/>
        <v>-0.91052535722578409</v>
      </c>
      <c r="V214" s="14">
        <v>72836.944220000005</v>
      </c>
      <c r="W214" s="16">
        <f t="shared" si="139"/>
        <v>-0.89407476009008591</v>
      </c>
      <c r="X214" s="14">
        <f t="shared" si="133"/>
        <v>11.195978581012058</v>
      </c>
      <c r="Y214" s="14">
        <v>1</v>
      </c>
      <c r="Z214" s="16">
        <f t="shared" si="140"/>
        <v>-1.3209105882125518</v>
      </c>
      <c r="AA214" s="14">
        <f t="shared" si="141"/>
        <v>0</v>
      </c>
      <c r="AB214" s="14">
        <v>7012</v>
      </c>
      <c r="AC214" s="17">
        <v>266</v>
      </c>
      <c r="AD214" s="14">
        <f t="shared" si="134"/>
        <v>7.3592474754461202E-3</v>
      </c>
      <c r="AE214" s="14">
        <f t="shared" si="135"/>
        <v>-0.84129269121495143</v>
      </c>
      <c r="AF214" s="14">
        <f t="shared" si="142"/>
        <v>0.10936804985794378</v>
      </c>
      <c r="AG214" s="14">
        <f t="shared" si="143"/>
        <v>0.10379052874523573</v>
      </c>
      <c r="AH214" s="14">
        <f t="shared" si="144"/>
        <v>1.1302306416279118</v>
      </c>
      <c r="AI214" s="14">
        <f t="shared" si="149"/>
        <v>-7.9064295485213876E-3</v>
      </c>
      <c r="AJ214" s="14">
        <f t="shared" si="150"/>
        <v>0.22293137368896399</v>
      </c>
      <c r="AK214" s="14">
        <f t="shared" si="151"/>
        <v>0</v>
      </c>
      <c r="AL214" s="14">
        <f t="shared" si="152"/>
        <v>6.9756137546850283E-3</v>
      </c>
    </row>
    <row r="215" spans="1:38" ht="17.25" customHeight="1" x14ac:dyDescent="0.2">
      <c r="A215" s="19" t="s">
        <v>4</v>
      </c>
      <c r="B215" s="19">
        <v>2017</v>
      </c>
      <c r="C215" s="14">
        <v>1</v>
      </c>
      <c r="D215" s="14">
        <v>0</v>
      </c>
      <c r="E215" s="14">
        <v>0</v>
      </c>
      <c r="F215" s="14">
        <v>1074</v>
      </c>
      <c r="G215" s="16">
        <f t="shared" si="136"/>
        <v>-1.0135628965375048</v>
      </c>
      <c r="H215" s="14">
        <f t="shared" si="129"/>
        <v>6.9791452750688103</v>
      </c>
      <c r="I215" s="17">
        <v>36299</v>
      </c>
      <c r="J215" s="15">
        <v>-13</v>
      </c>
      <c r="K215" s="14">
        <f t="shared" si="130"/>
        <v>-3.5813658778478745E-2</v>
      </c>
      <c r="L215" s="16">
        <f t="shared" si="137"/>
        <v>-6.7293279390673838E-2</v>
      </c>
      <c r="M215" s="14">
        <v>1.0635156673797794</v>
      </c>
      <c r="N215" s="16">
        <f t="shared" si="138"/>
        <v>1.5380319853253162</v>
      </c>
      <c r="O215" s="14">
        <v>1.56</v>
      </c>
      <c r="P215" s="17">
        <v>-0.14999999999999991</v>
      </c>
      <c r="Q215" s="14">
        <v>65637</v>
      </c>
      <c r="R215" s="14">
        <f>[1]Feuil1!J249/panel_choc_taux_suisse_2014_202!Q215</f>
        <v>10548.509366160344</v>
      </c>
      <c r="S215" s="14">
        <v>31</v>
      </c>
      <c r="T215" s="17">
        <f t="shared" si="131"/>
        <v>-0.76680912632006204</v>
      </c>
      <c r="U215" s="17">
        <f t="shared" si="132"/>
        <v>-0.9811990244959532</v>
      </c>
      <c r="V215" s="14">
        <v>73128.291989999998</v>
      </c>
      <c r="W215" s="16">
        <f t="shared" si="139"/>
        <v>-0.87754481749917768</v>
      </c>
      <c r="X215" s="14">
        <f t="shared" si="133"/>
        <v>11.199970602187515</v>
      </c>
      <c r="Y215" s="14">
        <v>1</v>
      </c>
      <c r="Z215" s="16">
        <f t="shared" si="140"/>
        <v>-1.3209105882125518</v>
      </c>
      <c r="AA215" s="14">
        <f t="shared" si="141"/>
        <v>0</v>
      </c>
      <c r="AB215" s="14">
        <v>7284</v>
      </c>
      <c r="AC215" s="17">
        <v>387</v>
      </c>
      <c r="AD215" s="14">
        <f t="shared" si="134"/>
        <v>1.0661450728670212E-2</v>
      </c>
      <c r="AE215" s="14">
        <f t="shared" si="135"/>
        <v>-0.87400407540800762</v>
      </c>
      <c r="AF215" s="14">
        <f t="shared" si="142"/>
        <v>0.13110061131120107</v>
      </c>
      <c r="AG215" s="14">
        <f t="shared" si="143"/>
        <v>0.12319115101230715</v>
      </c>
      <c r="AH215" s="14">
        <f t="shared" si="144"/>
        <v>1.3537203327825975</v>
      </c>
      <c r="AI215" s="14">
        <f t="shared" si="149"/>
        <v>2.955947378756818E-3</v>
      </c>
      <c r="AJ215" s="14">
        <f t="shared" si="150"/>
        <v>7.761835118140506E-2</v>
      </c>
      <c r="AK215" s="14">
        <f t="shared" si="151"/>
        <v>0</v>
      </c>
      <c r="AL215" s="14">
        <f t="shared" si="152"/>
        <v>3.9920211754562729E-3</v>
      </c>
    </row>
    <row r="216" spans="1:38" ht="17.25" customHeight="1" x14ac:dyDescent="0.2">
      <c r="A216" s="19" t="s">
        <v>4</v>
      </c>
      <c r="B216" s="19">
        <v>2018</v>
      </c>
      <c r="C216" s="14">
        <v>1</v>
      </c>
      <c r="D216" s="14">
        <v>0</v>
      </c>
      <c r="E216" s="14">
        <v>0</v>
      </c>
      <c r="F216" s="14">
        <v>1099.33</v>
      </c>
      <c r="G216" s="16">
        <f t="shared" si="136"/>
        <v>-0.88516411775546688</v>
      </c>
      <c r="H216" s="14">
        <f t="shared" si="129"/>
        <v>7.0024561823061457</v>
      </c>
      <c r="I216" s="17">
        <v>36433</v>
      </c>
      <c r="J216" s="15">
        <v>-58</v>
      </c>
      <c r="K216" s="14">
        <f t="shared" si="130"/>
        <v>-0.1591963329948124</v>
      </c>
      <c r="L216" s="16">
        <f t="shared" si="137"/>
        <v>-0.4490373214244377</v>
      </c>
      <c r="M216" s="14">
        <v>1.0301138707197743</v>
      </c>
      <c r="N216" s="16">
        <f t="shared" si="138"/>
        <v>0.14360416774800241</v>
      </c>
      <c r="O216" s="14">
        <v>1.5</v>
      </c>
      <c r="P216" s="17">
        <v>-6.0000000000000053E-2</v>
      </c>
      <c r="Q216" s="14">
        <v>65962</v>
      </c>
      <c r="R216" s="14">
        <f>[1]Feuil1!J250/panel_choc_taux_suisse_2014_202!Q216</f>
        <v>10776.494651718667</v>
      </c>
      <c r="S216" s="14">
        <v>30.4</v>
      </c>
      <c r="T216" s="17">
        <f t="shared" si="131"/>
        <v>-0.7629752117548676</v>
      </c>
      <c r="U216" s="17">
        <f t="shared" si="132"/>
        <v>-1.0417764535846699</v>
      </c>
      <c r="V216" s="14">
        <v>73493.933449999997</v>
      </c>
      <c r="W216" s="16">
        <f t="shared" si="139"/>
        <v>-0.85679973905681994</v>
      </c>
      <c r="X216" s="14">
        <f t="shared" si="133"/>
        <v>11.204958143699233</v>
      </c>
      <c r="Y216" s="14">
        <v>0.8</v>
      </c>
      <c r="Z216" s="16">
        <f t="shared" si="140"/>
        <v>-1.493188869093045</v>
      </c>
      <c r="AA216" s="14">
        <f t="shared" si="141"/>
        <v>-0.22314355131420971</v>
      </c>
      <c r="AB216" s="14">
        <v>7442</v>
      </c>
      <c r="AC216" s="17">
        <v>357</v>
      </c>
      <c r="AD216" s="14">
        <f t="shared" si="134"/>
        <v>9.7988087722669006E-3</v>
      </c>
      <c r="AE216" s="14">
        <f t="shared" si="135"/>
        <v>-0.90237583266976873</v>
      </c>
      <c r="AF216" s="14">
        <f t="shared" si="142"/>
        <v>5.4142549960186172E-2</v>
      </c>
      <c r="AG216" s="14">
        <f t="shared" si="143"/>
        <v>5.2727687615710984E-2</v>
      </c>
      <c r="AH216" s="14">
        <f t="shared" si="144"/>
        <v>0.56231185568272801</v>
      </c>
      <c r="AI216" s="14">
        <f t="shared" si="149"/>
        <v>2.3310907237335421E-2</v>
      </c>
      <c r="AJ216" s="14">
        <f t="shared" si="150"/>
        <v>-0.12338267421633364</v>
      </c>
      <c r="AK216" s="14">
        <f t="shared" si="151"/>
        <v>-0.19999999999999996</v>
      </c>
      <c r="AL216" s="14">
        <f t="shared" si="152"/>
        <v>4.9875415117188737E-3</v>
      </c>
    </row>
    <row r="217" spans="1:38" ht="17.25" customHeight="1" x14ac:dyDescent="0.2">
      <c r="A217" s="19" t="s">
        <v>4</v>
      </c>
      <c r="B217" s="19">
        <v>2019</v>
      </c>
      <c r="C217" s="14">
        <v>1</v>
      </c>
      <c r="D217" s="14">
        <v>0</v>
      </c>
      <c r="E217" s="14">
        <v>0</v>
      </c>
      <c r="F217" s="14">
        <v>1218.4000000000001</v>
      </c>
      <c r="G217" s="16">
        <f t="shared" si="136"/>
        <v>-0.28159354572319967</v>
      </c>
      <c r="H217" s="14">
        <f t="shared" si="129"/>
        <v>7.1052938015809524</v>
      </c>
      <c r="I217" s="17">
        <v>36703</v>
      </c>
      <c r="J217" s="15">
        <v>51</v>
      </c>
      <c r="K217" s="14">
        <f t="shared" si="130"/>
        <v>0.13895321908290875</v>
      </c>
      <c r="L217" s="16">
        <f t="shared" si="137"/>
        <v>0.47343267579043985</v>
      </c>
      <c r="M217" s="14">
        <v>1.036888899675622</v>
      </c>
      <c r="N217" s="16">
        <f t="shared" si="138"/>
        <v>0.42644191258817377</v>
      </c>
      <c r="O217" s="14">
        <v>1.43</v>
      </c>
      <c r="P217" s="17">
        <v>-7.0000000000000062E-2</v>
      </c>
      <c r="Q217" s="14">
        <v>63907</v>
      </c>
      <c r="R217" s="14">
        <f>[1]Feuil1!J251/panel_choc_taux_suisse_2014_202!Q217</f>
        <v>11425.458138127799</v>
      </c>
      <c r="S217" s="14">
        <v>29.8</v>
      </c>
      <c r="T217" s="17">
        <f t="shared" si="131"/>
        <v>-0.75206191725548721</v>
      </c>
      <c r="U217" s="17">
        <f t="shared" si="132"/>
        <v>-1.1023538826733861</v>
      </c>
      <c r="V217" s="14">
        <v>74155</v>
      </c>
      <c r="W217" s="16">
        <f t="shared" si="139"/>
        <v>-0.81929338669905138</v>
      </c>
      <c r="X217" s="14">
        <f t="shared" si="133"/>
        <v>11.213912776176063</v>
      </c>
      <c r="Y217" s="14">
        <v>1.1000000000000001</v>
      </c>
      <c r="Z217" s="16">
        <f t="shared" si="140"/>
        <v>-1.2347714477723051</v>
      </c>
      <c r="AA217" s="14">
        <f t="shared" si="141"/>
        <v>9.5310179804324935E-2</v>
      </c>
      <c r="AB217" s="14">
        <v>7631</v>
      </c>
      <c r="AC217" s="17">
        <v>127</v>
      </c>
      <c r="AD217" s="14">
        <f t="shared" si="134"/>
        <v>3.4602076124567475E-3</v>
      </c>
      <c r="AE217" s="14">
        <f t="shared" si="135"/>
        <v>-0.92720789996443664</v>
      </c>
      <c r="AF217" s="14">
        <f t="shared" si="142"/>
        <v>6.490455299751062E-2</v>
      </c>
      <c r="AG217" s="14">
        <f t="shared" si="143"/>
        <v>6.2885173546551335E-2</v>
      </c>
      <c r="AH217" s="14">
        <f t="shared" si="144"/>
        <v>0.6729843477490941</v>
      </c>
      <c r="AI217" s="14">
        <f t="shared" si="149"/>
        <v>0.10283761927480661</v>
      </c>
      <c r="AJ217" s="14">
        <f t="shared" si="150"/>
        <v>0.29814955207772115</v>
      </c>
      <c r="AK217" s="14">
        <f t="shared" si="151"/>
        <v>0.30000000000000004</v>
      </c>
      <c r="AL217" s="14">
        <f t="shared" si="152"/>
        <v>8.9546324768292607E-3</v>
      </c>
    </row>
    <row r="218" spans="1:38" ht="17.25" customHeight="1" x14ac:dyDescent="0.2">
      <c r="A218" s="19" t="s">
        <v>4</v>
      </c>
      <c r="B218" s="19">
        <v>2020</v>
      </c>
      <c r="C218" s="14">
        <v>1</v>
      </c>
      <c r="D218" s="14">
        <v>0</v>
      </c>
      <c r="E218" s="14">
        <v>0</v>
      </c>
      <c r="F218" s="14">
        <v>1090.5</v>
      </c>
      <c r="G218" s="16">
        <f t="shared" si="136"/>
        <v>-0.92992373941537165</v>
      </c>
      <c r="H218" s="14">
        <f t="shared" si="129"/>
        <v>6.9943915856416838</v>
      </c>
      <c r="I218" s="17">
        <v>36819</v>
      </c>
      <c r="J218" s="15">
        <v>-140</v>
      </c>
      <c r="K218" s="14">
        <f t="shared" si="130"/>
        <v>-0.38023846383660614</v>
      </c>
      <c r="L218" s="16">
        <f t="shared" si="137"/>
        <v>-1.1329381772232969</v>
      </c>
      <c r="M218" s="14">
        <v>1.0413346451454319</v>
      </c>
      <c r="N218" s="16">
        <f t="shared" si="138"/>
        <v>0.61203884966534006</v>
      </c>
      <c r="O218" s="14">
        <v>1.33</v>
      </c>
      <c r="P218" s="17">
        <v>-9.9999999999999867E-2</v>
      </c>
      <c r="Q218" s="14">
        <v>65999</v>
      </c>
      <c r="R218" s="14">
        <f>[1]Feuil1!J252/panel_choc_taux_suisse_2014_202!Q218</f>
        <v>11354.971548432552</v>
      </c>
      <c r="S218" s="14">
        <v>29.9</v>
      </c>
      <c r="T218" s="17">
        <f t="shared" si="131"/>
        <v>-0.7532472549943755</v>
      </c>
      <c r="U218" s="17">
        <f t="shared" si="132"/>
        <v>-1.0922576444919336</v>
      </c>
      <c r="V218" s="14">
        <v>74748.621880000006</v>
      </c>
      <c r="W218" s="16">
        <f t="shared" si="139"/>
        <v>-0.7856135833591894</v>
      </c>
      <c r="X218" s="14">
        <f t="shared" si="133"/>
        <v>11.221886054695021</v>
      </c>
      <c r="Y218" s="14">
        <v>1.5</v>
      </c>
      <c r="Z218" s="16">
        <f t="shared" si="140"/>
        <v>-0.89021488601131826</v>
      </c>
      <c r="AA218" s="14">
        <f t="shared" si="141"/>
        <v>0.40546510810816438</v>
      </c>
      <c r="AB218" s="14">
        <v>7765</v>
      </c>
      <c r="AC218" s="17">
        <v>329</v>
      </c>
      <c r="AD218" s="14">
        <f t="shared" si="134"/>
        <v>8.9356039001602435E-3</v>
      </c>
      <c r="AE218" s="14">
        <f t="shared" si="135"/>
        <v>-0.92275244974315451</v>
      </c>
      <c r="AF218" s="14">
        <f t="shared" si="142"/>
        <v>9.2275244974315329E-2</v>
      </c>
      <c r="AG218" s="14">
        <f t="shared" si="143"/>
        <v>8.8262901399262766E-2</v>
      </c>
      <c r="AH218" s="14">
        <f t="shared" si="144"/>
        <v>0.95445450531624509</v>
      </c>
      <c r="AI218" s="14">
        <f t="shared" si="149"/>
        <v>-0.11090221593926852</v>
      </c>
      <c r="AJ218" s="14">
        <f t="shared" si="150"/>
        <v>-0.5191916829195149</v>
      </c>
      <c r="AK218" s="14">
        <f t="shared" si="151"/>
        <v>0.39999999999999991</v>
      </c>
      <c r="AL218" s="14">
        <f t="shared" si="152"/>
        <v>7.9732785189587929E-3</v>
      </c>
    </row>
    <row r="219" spans="1:38" ht="17.25" customHeight="1" x14ac:dyDescent="0.2">
      <c r="A219" s="19" t="s">
        <v>4</v>
      </c>
      <c r="B219" s="19">
        <v>2021</v>
      </c>
      <c r="C219" s="14">
        <v>1</v>
      </c>
      <c r="D219" s="14">
        <v>0</v>
      </c>
      <c r="E219" s="14">
        <v>0</v>
      </c>
      <c r="F219" s="14">
        <v>1159</v>
      </c>
      <c r="G219" s="16">
        <f t="shared" si="136"/>
        <v>-0.58269451136287953</v>
      </c>
      <c r="H219" s="14">
        <f t="shared" si="129"/>
        <v>7.0553128433397516</v>
      </c>
      <c r="I219" s="17">
        <v>37047</v>
      </c>
      <c r="J219" s="15">
        <v>-17</v>
      </c>
      <c r="K219" s="14">
        <f t="shared" si="130"/>
        <v>-4.5887656220476691E-2</v>
      </c>
      <c r="L219" s="16">
        <f t="shared" si="137"/>
        <v>-9.8462068099234606E-2</v>
      </c>
      <c r="M219" s="14">
        <v>1.0457435779736526</v>
      </c>
      <c r="N219" s="16">
        <f t="shared" si="138"/>
        <v>0.79609896607405228</v>
      </c>
      <c r="O219" s="14">
        <v>1.25</v>
      </c>
      <c r="P219" s="17">
        <v>-8.0000000000000071E-2</v>
      </c>
      <c r="Q219" s="14">
        <v>66841</v>
      </c>
      <c r="R219" s="14">
        <f>[1]Feuil1!J253/panel_choc_taux_suisse_2014_202!Q219</f>
        <v>11566.999088134526</v>
      </c>
      <c r="S219" s="14">
        <v>29.9</v>
      </c>
      <c r="T219" s="17">
        <f t="shared" si="131"/>
        <v>-0.74968169386311645</v>
      </c>
      <c r="U219" s="17">
        <f t="shared" si="132"/>
        <v>-1.0922576444919336</v>
      </c>
      <c r="V219" s="14">
        <v>74599.124639999995</v>
      </c>
      <c r="W219" s="16">
        <f t="shared" si="139"/>
        <v>-0.79409547698995064</v>
      </c>
      <c r="X219" s="14">
        <f t="shared" si="133"/>
        <v>11.21988405207475</v>
      </c>
      <c r="Y219" s="14">
        <v>1.2</v>
      </c>
      <c r="Z219" s="16">
        <f t="shared" si="140"/>
        <v>-1.1486323073320583</v>
      </c>
      <c r="AA219" s="14">
        <f t="shared" si="141"/>
        <v>0.18232155679395459</v>
      </c>
      <c r="AB219" s="14">
        <v>7972</v>
      </c>
      <c r="AC219" s="17">
        <v>353</v>
      </c>
      <c r="AD219" s="14">
        <f t="shared" si="134"/>
        <v>9.5284368504872183E-3</v>
      </c>
      <c r="AE219" s="14">
        <f t="shared" si="135"/>
        <v>-0.9209696691775251</v>
      </c>
      <c r="AF219" s="14">
        <f t="shared" si="142"/>
        <v>7.3677573534202068E-2</v>
      </c>
      <c r="AG219" s="14">
        <f t="shared" si="143"/>
        <v>7.1089740152361885E-2</v>
      </c>
      <c r="AH219" s="14">
        <f t="shared" si="144"/>
        <v>0.76320287327614467</v>
      </c>
      <c r="AI219" s="14">
        <f t="shared" si="149"/>
        <v>6.0921257698067777E-2</v>
      </c>
      <c r="AJ219" s="14">
        <f t="shared" si="150"/>
        <v>0.33435080761612945</v>
      </c>
      <c r="AK219" s="14">
        <f t="shared" si="151"/>
        <v>-0.30000000000000004</v>
      </c>
      <c r="AL219" s="14">
        <f t="shared" si="152"/>
        <v>-2.0020026202711705E-3</v>
      </c>
    </row>
    <row r="220" spans="1:38" ht="17.25" customHeight="1" x14ac:dyDescent="0.2">
      <c r="A220" s="19" t="s">
        <v>4</v>
      </c>
      <c r="B220" s="19">
        <v>2022</v>
      </c>
      <c r="C220" s="14">
        <v>1</v>
      </c>
      <c r="D220" s="14">
        <v>0</v>
      </c>
      <c r="E220" s="14">
        <v>0</v>
      </c>
      <c r="F220" s="14">
        <v>1160.17</v>
      </c>
      <c r="G220" s="16">
        <f t="shared" si="136"/>
        <v>-0.57676373476694609</v>
      </c>
      <c r="H220" s="14">
        <f t="shared" si="129"/>
        <v>7.0563218250868935</v>
      </c>
      <c r="I220" s="17">
        <v>37317</v>
      </c>
      <c r="J220" s="15">
        <v>14</v>
      </c>
      <c r="K220" s="14">
        <f t="shared" si="130"/>
        <v>3.7516413430876007E-2</v>
      </c>
      <c r="L220" s="16">
        <f t="shared" si="137"/>
        <v>0.15958880389716792</v>
      </c>
      <c r="M220" s="14">
        <v>0.98600652141555722</v>
      </c>
      <c r="N220" s="16">
        <f t="shared" si="138"/>
        <v>-1.6977493215702677</v>
      </c>
      <c r="O220" s="14">
        <v>1.21</v>
      </c>
      <c r="P220" s="17">
        <v>-4.0000000000000036E-2</v>
      </c>
      <c r="Q220" s="14">
        <v>66462</v>
      </c>
      <c r="R220" s="14">
        <f>[1]Feuil1!J254/panel_choc_taux_suisse_2014_202!Q220</f>
        <v>11978.762262144784</v>
      </c>
      <c r="S220" s="14">
        <v>30.1</v>
      </c>
      <c r="T220" s="17">
        <f t="shared" si="131"/>
        <v>-0.74275727842822326</v>
      </c>
      <c r="U220" s="17">
        <f t="shared" si="132"/>
        <v>-1.0720651681290279</v>
      </c>
      <c r="V220" s="14">
        <v>75270.516759999999</v>
      </c>
      <c r="W220" s="16">
        <f t="shared" si="139"/>
        <v>-0.7560032918340851</v>
      </c>
      <c r="X220" s="14">
        <f t="shared" si="133"/>
        <v>11.22884379342284</v>
      </c>
      <c r="Y220" s="14">
        <v>0.8</v>
      </c>
      <c r="Z220" s="16">
        <f t="shared" si="140"/>
        <v>-1.493188869093045</v>
      </c>
      <c r="AA220" s="14">
        <f t="shared" si="141"/>
        <v>-0.22314355131420971</v>
      </c>
      <c r="AB220" s="14">
        <v>8144</v>
      </c>
      <c r="AC220" s="17">
        <v>244</v>
      </c>
      <c r="AD220" s="14">
        <f t="shared" si="134"/>
        <v>6.53857491223839E-3</v>
      </c>
      <c r="AE220" s="14">
        <f t="shared" si="135"/>
        <v>-0.90741122327862556</v>
      </c>
      <c r="AF220" s="14">
        <f t="shared" si="142"/>
        <v>3.6296448931145052E-2</v>
      </c>
      <c r="AG220" s="14">
        <f t="shared" si="143"/>
        <v>3.5653250521805624E-2</v>
      </c>
      <c r="AH220" s="14">
        <f t="shared" si="144"/>
        <v>0.37878909809733846</v>
      </c>
      <c r="AI220" s="14">
        <f t="shared" si="149"/>
        <v>1.0089817471419238E-3</v>
      </c>
      <c r="AJ220" s="14">
        <f t="shared" si="150"/>
        <v>8.3404069651352691E-2</v>
      </c>
      <c r="AK220" s="14">
        <f t="shared" si="151"/>
        <v>-0.39999999999999991</v>
      </c>
      <c r="AL220" s="14">
        <f t="shared" si="152"/>
        <v>8.9597413480895227E-3</v>
      </c>
    </row>
    <row r="221" spans="1:38" ht="17.25" customHeight="1" x14ac:dyDescent="0.2">
      <c r="A221" s="19" t="s">
        <v>4</v>
      </c>
      <c r="B221" s="19">
        <v>2023</v>
      </c>
      <c r="C221" s="14">
        <v>1</v>
      </c>
      <c r="D221" s="14">
        <v>0</v>
      </c>
      <c r="E221" s="14">
        <v>0</v>
      </c>
      <c r="F221" s="14">
        <v>1274</v>
      </c>
      <c r="G221" s="16">
        <f t="shared" si="136"/>
        <v>2.4506857926067792E-4</v>
      </c>
      <c r="H221" s="14">
        <f t="shared" si="129"/>
        <v>7.1499168361321086</v>
      </c>
      <c r="I221" s="17">
        <v>37931</v>
      </c>
      <c r="J221" s="15">
        <v>1</v>
      </c>
      <c r="K221" s="14">
        <f t="shared" si="130"/>
        <v>2.6363660330600302E-3</v>
      </c>
      <c r="L221" s="16">
        <f t="shared" si="137"/>
        <v>5.1670489072631276E-2</v>
      </c>
      <c r="M221" s="14">
        <v>1.0341430614279774</v>
      </c>
      <c r="N221" s="16">
        <f t="shared" si="138"/>
        <v>0.31181115562449047</v>
      </c>
      <c r="O221" s="14">
        <v>1.48</v>
      </c>
      <c r="P221" s="17">
        <v>0.27</v>
      </c>
      <c r="Q221" s="14">
        <v>66375</v>
      </c>
      <c r="R221" s="14">
        <f>[1]Feuil1!J255/panel_choc_taux_suisse_2014_202!Q221</f>
        <v>12249.918517388576</v>
      </c>
      <c r="S221" s="14">
        <v>30</v>
      </c>
      <c r="T221" s="17">
        <f t="shared" si="131"/>
        <v>-0.73819737924930529</v>
      </c>
      <c r="U221" s="17">
        <f t="shared" si="132"/>
        <v>-1.0821614063104807</v>
      </c>
      <c r="V221" s="14">
        <v>88066.504610000004</v>
      </c>
      <c r="W221" s="16">
        <f t="shared" si="139"/>
        <v>-3.0008565481916678E-2</v>
      </c>
      <c r="X221" s="14">
        <f t="shared" si="133"/>
        <v>11.385847542241589</v>
      </c>
      <c r="Y221" s="14">
        <v>0.8</v>
      </c>
      <c r="Z221" s="16">
        <f t="shared" si="140"/>
        <v>-1.493188869093045</v>
      </c>
      <c r="AA221" s="14">
        <f t="shared" si="141"/>
        <v>-0.22314355131420971</v>
      </c>
      <c r="AB221" s="14">
        <v>8397</v>
      </c>
      <c r="AC221" s="17">
        <v>243</v>
      </c>
      <c r="AD221" s="14">
        <f t="shared" si="134"/>
        <v>6.406369460335873E-3</v>
      </c>
      <c r="AE221" s="14">
        <f t="shared" si="135"/>
        <v>-0.91017939277989302</v>
      </c>
      <c r="AF221" s="14">
        <f t="shared" si="142"/>
        <v>-0.24574843605057112</v>
      </c>
      <c r="AG221" s="14">
        <f t="shared" si="143"/>
        <v>-0.28202932742913495</v>
      </c>
      <c r="AH221" s="14">
        <f t="shared" si="144"/>
        <v>-2.521657053724081</v>
      </c>
      <c r="AI221" s="14">
        <f t="shared" si="149"/>
        <v>9.359501104521506E-2</v>
      </c>
      <c r="AJ221" s="14">
        <f t="shared" si="150"/>
        <v>-3.4880047397815979E-2</v>
      </c>
      <c r="AK221" s="14">
        <f t="shared" si="151"/>
        <v>0</v>
      </c>
      <c r="AL221" s="14">
        <f t="shared" si="152"/>
        <v>0.15700374881874879</v>
      </c>
    </row>
    <row r="222" spans="1:38" ht="17.25" customHeight="1" x14ac:dyDescent="0.2">
      <c r="A222" s="19" t="s">
        <v>3</v>
      </c>
      <c r="B222" s="19">
        <v>2014</v>
      </c>
      <c r="C222" s="14">
        <v>0</v>
      </c>
      <c r="D222" s="14">
        <v>0</v>
      </c>
      <c r="E222" s="14">
        <v>1</v>
      </c>
      <c r="F222" s="14">
        <v>1348.67</v>
      </c>
      <c r="G222" s="16">
        <f t="shared" si="136"/>
        <v>0.37875027235560543</v>
      </c>
      <c r="H222" s="14">
        <f t="shared" si="129"/>
        <v>7.2068742006333926</v>
      </c>
      <c r="I222" s="17">
        <v>761446</v>
      </c>
      <c r="J222" s="15">
        <v>-1409</v>
      </c>
      <c r="K222" s="14">
        <f t="shared" si="130"/>
        <v>-0.18504266881696141</v>
      </c>
      <c r="L222" s="16">
        <f t="shared" si="137"/>
        <v>-0.52900547555286437</v>
      </c>
      <c r="M222" s="14">
        <v>1.0281149308624065</v>
      </c>
      <c r="N222" s="16">
        <f t="shared" si="138"/>
        <v>6.0154245243822686E-2</v>
      </c>
      <c r="O222" s="14">
        <v>1.95</v>
      </c>
      <c r="P222" s="17">
        <v>0</v>
      </c>
      <c r="Q222" s="14">
        <v>44257</v>
      </c>
      <c r="R222" s="14">
        <f>[1]Feuil1!J256/panel_choc_taux_suisse_2014_202!Q222</f>
        <v>14343.772359927998</v>
      </c>
      <c r="S222" s="14">
        <v>57.2</v>
      </c>
      <c r="T222" s="17">
        <f t="shared" si="131"/>
        <v>-0.70298608600886248</v>
      </c>
      <c r="U222" s="17">
        <f t="shared" si="132"/>
        <v>1.6640153790446666</v>
      </c>
      <c r="V222" s="14">
        <v>90682.934450000001</v>
      </c>
      <c r="W222" s="16">
        <f t="shared" si="139"/>
        <v>0.11843751683524065</v>
      </c>
      <c r="X222" s="14">
        <f t="shared" si="133"/>
        <v>11.415124464596332</v>
      </c>
      <c r="Y222" s="14">
        <v>4.5999999999999996</v>
      </c>
      <c r="Z222" s="16">
        <f t="shared" si="140"/>
        <v>1.780098467636329</v>
      </c>
      <c r="AA222" s="14">
        <f t="shared" si="141"/>
        <v>1.5260563034950492</v>
      </c>
      <c r="AB222" s="14">
        <v>120806</v>
      </c>
      <c r="AC222" s="17">
        <v>4694</v>
      </c>
      <c r="AD222" s="14">
        <f t="shared" si="134"/>
        <v>6.1645868518581748E-3</v>
      </c>
      <c r="AE222" s="14">
        <f t="shared" si="135"/>
        <v>0.48051464651790204</v>
      </c>
      <c r="AF222" s="14">
        <f t="shared" si="142"/>
        <v>0</v>
      </c>
      <c r="AG222" s="14">
        <f t="shared" si="143"/>
        <v>0</v>
      </c>
      <c r="AH222" s="14">
        <f t="shared" si="144"/>
        <v>5.5297297030243815E-3</v>
      </c>
      <c r="AI222" s="14">
        <v>0</v>
      </c>
      <c r="AJ222" s="14">
        <v>0</v>
      </c>
      <c r="AK222" s="14">
        <v>0</v>
      </c>
      <c r="AL222" s="14">
        <v>0</v>
      </c>
    </row>
    <row r="223" spans="1:38" ht="17.25" customHeight="1" x14ac:dyDescent="0.2">
      <c r="A223" s="19" t="s">
        <v>3</v>
      </c>
      <c r="B223" s="19">
        <v>2015</v>
      </c>
      <c r="C223" s="14">
        <v>0</v>
      </c>
      <c r="D223" s="14">
        <v>0</v>
      </c>
      <c r="E223" s="14">
        <v>1</v>
      </c>
      <c r="F223" s="14">
        <v>1311.67</v>
      </c>
      <c r="G223" s="16">
        <f t="shared" si="136"/>
        <v>0.19119579880900384</v>
      </c>
      <c r="H223" s="14">
        <f t="shared" si="129"/>
        <v>7.1790564134762258</v>
      </c>
      <c r="I223" s="17">
        <v>773407</v>
      </c>
      <c r="J223" s="15">
        <v>-1069</v>
      </c>
      <c r="K223" s="14">
        <f t="shared" si="130"/>
        <v>-0.13821959201300221</v>
      </c>
      <c r="L223" s="16">
        <f t="shared" si="137"/>
        <v>-0.38413561669196367</v>
      </c>
      <c r="M223" s="14">
        <v>1.0174024043472965</v>
      </c>
      <c r="N223" s="16">
        <f t="shared" si="138"/>
        <v>-0.38706256531446542</v>
      </c>
      <c r="O223" s="14">
        <v>1.84</v>
      </c>
      <c r="P223" s="17">
        <v>-0.10999999999999988</v>
      </c>
      <c r="Q223" s="14">
        <v>45530</v>
      </c>
      <c r="R223" s="14">
        <f>[1]Feuil1!J257/panel_choc_taux_suisse_2014_202!Q223</f>
        <v>14409.887709385752</v>
      </c>
      <c r="S223" s="14">
        <v>57.3</v>
      </c>
      <c r="T223" s="17">
        <f t="shared" si="131"/>
        <v>-0.70187425723163144</v>
      </c>
      <c r="U223" s="17">
        <f t="shared" si="132"/>
        <v>1.6741116172261186</v>
      </c>
      <c r="V223" s="14">
        <v>91045.666190000004</v>
      </c>
      <c r="W223" s="16">
        <f t="shared" si="139"/>
        <v>0.13901750904901475</v>
      </c>
      <c r="X223" s="14">
        <f t="shared" si="133"/>
        <v>11.419116485890033</v>
      </c>
      <c r="Y223" s="14">
        <v>4.7</v>
      </c>
      <c r="Z223" s="16">
        <f t="shared" si="140"/>
        <v>1.8662376080765761</v>
      </c>
      <c r="AA223" s="14">
        <f t="shared" si="141"/>
        <v>1.547562508716013</v>
      </c>
      <c r="AB223" s="14">
        <v>123612</v>
      </c>
      <c r="AC223" s="17">
        <v>4478</v>
      </c>
      <c r="AD223" s="14">
        <f t="shared" si="134"/>
        <v>5.7899656972331516E-3</v>
      </c>
      <c r="AE223" s="14">
        <f t="shared" si="135"/>
        <v>0.48611867999724356</v>
      </c>
      <c r="AF223" s="14">
        <f t="shared" si="142"/>
        <v>-5.3473054799696731E-2</v>
      </c>
      <c r="AG223" s="14">
        <f t="shared" si="143"/>
        <v>-5.4955840486199413E-2</v>
      </c>
      <c r="AH223" s="14">
        <f t="shared" si="144"/>
        <v>-0.5443675535963004</v>
      </c>
      <c r="AI223" s="14">
        <f t="shared" ref="AI223:AI231" si="153">LN(F223)-LN(F222)</f>
        <v>-2.7817787157166762E-2</v>
      </c>
      <c r="AJ223" s="14">
        <f t="shared" ref="AJ223:AJ231" si="154">K223-K222</f>
        <v>4.6823076803959196E-2</v>
      </c>
      <c r="AK223" s="14">
        <f t="shared" ref="AK223:AK231" si="155">Y223-Y222</f>
        <v>0.10000000000000053</v>
      </c>
      <c r="AL223" s="14">
        <f t="shared" ref="AL223:AL231" si="156">LN(V223)-LN(V222)</f>
        <v>3.9920212937012423E-3</v>
      </c>
    </row>
    <row r="224" spans="1:38" ht="17.25" customHeight="1" x14ac:dyDescent="0.2">
      <c r="A224" s="19" t="s">
        <v>3</v>
      </c>
      <c r="B224" s="19">
        <v>2016</v>
      </c>
      <c r="C224" s="14">
        <v>0</v>
      </c>
      <c r="D224" s="14">
        <v>0</v>
      </c>
      <c r="E224" s="14">
        <v>1</v>
      </c>
      <c r="F224" s="14">
        <v>1343.5</v>
      </c>
      <c r="G224" s="16">
        <f t="shared" si="136"/>
        <v>0.35254333645733671</v>
      </c>
      <c r="H224" s="14">
        <f t="shared" si="129"/>
        <v>7.2030334280555461</v>
      </c>
      <c r="I224" s="17">
        <v>784822</v>
      </c>
      <c r="J224" s="15">
        <v>-910</v>
      </c>
      <c r="K224" s="14">
        <f t="shared" si="130"/>
        <v>-0.11594985869407332</v>
      </c>
      <c r="L224" s="16">
        <f t="shared" si="137"/>
        <v>-0.31523341412439704</v>
      </c>
      <c r="M224" s="14">
        <v>0.98347652295718835</v>
      </c>
      <c r="N224" s="16">
        <f t="shared" si="138"/>
        <v>-1.8033693953850858</v>
      </c>
      <c r="O224" s="14">
        <v>1.71</v>
      </c>
      <c r="P224" s="17">
        <v>-0.13000000000000012</v>
      </c>
      <c r="Q224" s="14">
        <v>45050</v>
      </c>
      <c r="R224" s="14">
        <f>[1]Feuil1!J258/panel_choc_taux_suisse_2014_202!Q224</f>
        <v>14996.29502589715</v>
      </c>
      <c r="S224" s="14">
        <v>56.8</v>
      </c>
      <c r="T224" s="17">
        <f t="shared" si="131"/>
        <v>-0.69201293856624546</v>
      </c>
      <c r="U224" s="17">
        <f t="shared" si="132"/>
        <v>1.623630426318855</v>
      </c>
      <c r="V224" s="14">
        <v>91682.985849999997</v>
      </c>
      <c r="W224" s="16">
        <f t="shared" si="139"/>
        <v>0.17517655496124984</v>
      </c>
      <c r="X224" s="14">
        <f t="shared" si="133"/>
        <v>11.426092099590138</v>
      </c>
      <c r="Y224" s="14">
        <v>4.7</v>
      </c>
      <c r="Z224" s="16">
        <f t="shared" si="140"/>
        <v>1.8662376080765761</v>
      </c>
      <c r="AA224" s="14">
        <f t="shared" si="141"/>
        <v>1.547562508716013</v>
      </c>
      <c r="AB224" s="14">
        <v>125957</v>
      </c>
      <c r="AC224" s="17">
        <v>5570</v>
      </c>
      <c r="AD224" s="14">
        <f t="shared" si="134"/>
        <v>7.0971506914943774E-3</v>
      </c>
      <c r="AE224" s="14">
        <f t="shared" si="135"/>
        <v>0.46580874387630478</v>
      </c>
      <c r="AF224" s="14">
        <f t="shared" si="142"/>
        <v>-6.0555136703919675E-2</v>
      </c>
      <c r="AG224" s="14">
        <f t="shared" si="143"/>
        <v>-6.2466149135423511E-2</v>
      </c>
      <c r="AH224" s="14">
        <f t="shared" si="144"/>
        <v>-0.61719708641097681</v>
      </c>
      <c r="AI224" s="14">
        <f t="shared" si="153"/>
        <v>2.3977014579320333E-2</v>
      </c>
      <c r="AJ224" s="14">
        <f t="shared" si="154"/>
        <v>2.2269733318928897E-2</v>
      </c>
      <c r="AK224" s="14">
        <f t="shared" si="155"/>
        <v>0</v>
      </c>
      <c r="AL224" s="14">
        <f t="shared" si="156"/>
        <v>6.9756137001046881E-3</v>
      </c>
    </row>
    <row r="225" spans="1:38" ht="17.25" customHeight="1" x14ac:dyDescent="0.2">
      <c r="A225" s="19" t="s">
        <v>3</v>
      </c>
      <c r="B225" s="19">
        <v>2017</v>
      </c>
      <c r="C225" s="14">
        <v>0</v>
      </c>
      <c r="D225" s="14">
        <v>0</v>
      </c>
      <c r="E225" s="14">
        <v>1</v>
      </c>
      <c r="F225" s="14">
        <v>1357.83</v>
      </c>
      <c r="G225" s="16">
        <f t="shared" si="136"/>
        <v>0.4251826771579526</v>
      </c>
      <c r="H225" s="14">
        <f t="shared" si="129"/>
        <v>7.2136431161882024</v>
      </c>
      <c r="I225" s="17">
        <v>793129</v>
      </c>
      <c r="J225" s="15">
        <v>-1108</v>
      </c>
      <c r="K225" s="14">
        <f t="shared" si="130"/>
        <v>-0.13969984706144903</v>
      </c>
      <c r="L225" s="16">
        <f t="shared" si="137"/>
        <v>-0.38871550239329145</v>
      </c>
      <c r="M225" s="14">
        <v>1.0635156673797794</v>
      </c>
      <c r="N225" s="16">
        <f t="shared" si="138"/>
        <v>1.5380319853253162</v>
      </c>
      <c r="O225" s="14">
        <v>1.56</v>
      </c>
      <c r="P225" s="17">
        <v>-0.14999999999999991</v>
      </c>
      <c r="Q225" s="14">
        <v>47132</v>
      </c>
      <c r="R225" s="14">
        <f>[1]Feuil1!J259/panel_choc_taux_suisse_2014_202!Q225</f>
        <v>14690.072758776765</v>
      </c>
      <c r="S225" s="14">
        <v>57.3</v>
      </c>
      <c r="T225" s="17">
        <f t="shared" si="131"/>
        <v>-0.69716252533551704</v>
      </c>
      <c r="U225" s="17">
        <f t="shared" si="132"/>
        <v>1.6741116172261186</v>
      </c>
      <c r="V225" s="14">
        <v>92049.717799999999</v>
      </c>
      <c r="W225" s="16">
        <f t="shared" si="139"/>
        <v>0.19598350357716679</v>
      </c>
      <c r="X225" s="14">
        <f t="shared" si="133"/>
        <v>11.430084120931376</v>
      </c>
      <c r="Y225" s="14">
        <v>4.3</v>
      </c>
      <c r="Z225" s="16">
        <f t="shared" si="140"/>
        <v>1.521681046315589</v>
      </c>
      <c r="AA225" s="14">
        <f t="shared" si="141"/>
        <v>1.4586150226995167</v>
      </c>
      <c r="AB225" s="14">
        <v>129778</v>
      </c>
      <c r="AC225" s="17">
        <v>4857</v>
      </c>
      <c r="AD225" s="14">
        <f t="shared" si="134"/>
        <v>6.1238461839120744E-3</v>
      </c>
      <c r="AE225" s="14">
        <f t="shared" si="135"/>
        <v>0.48847454594530076</v>
      </c>
      <c r="AF225" s="14">
        <f t="shared" si="142"/>
        <v>-7.3271181891795073E-2</v>
      </c>
      <c r="AG225" s="14">
        <f t="shared" si="143"/>
        <v>-7.6094293313708636E-2</v>
      </c>
      <c r="AH225" s="14">
        <f t="shared" si="144"/>
        <v>-0.74796423127145317</v>
      </c>
      <c r="AI225" s="14">
        <f t="shared" si="153"/>
        <v>1.0609688132656281E-2</v>
      </c>
      <c r="AJ225" s="14">
        <f t="shared" si="154"/>
        <v>-2.3749988367375713E-2</v>
      </c>
      <c r="AK225" s="14">
        <f t="shared" si="155"/>
        <v>-0.40000000000000036</v>
      </c>
      <c r="AL225" s="14">
        <f t="shared" si="156"/>
        <v>3.9920213412383276E-3</v>
      </c>
    </row>
    <row r="226" spans="1:38" ht="17.25" customHeight="1" x14ac:dyDescent="0.2">
      <c r="A226" s="19" t="s">
        <v>3</v>
      </c>
      <c r="B226" s="19">
        <v>2018</v>
      </c>
      <c r="C226" s="14">
        <v>0</v>
      </c>
      <c r="D226" s="14">
        <v>0</v>
      </c>
      <c r="E226" s="14">
        <v>1</v>
      </c>
      <c r="F226" s="14">
        <v>1383.17</v>
      </c>
      <c r="G226" s="16">
        <f t="shared" si="136"/>
        <v>0.55363214633824753</v>
      </c>
      <c r="H226" s="14">
        <f t="shared" si="129"/>
        <v>7.2321332452963967</v>
      </c>
      <c r="I226" s="17">
        <v>799145</v>
      </c>
      <c r="J226" s="15">
        <v>-1437</v>
      </c>
      <c r="K226" s="14">
        <f t="shared" si="130"/>
        <v>-0.17981717961070895</v>
      </c>
      <c r="L226" s="16">
        <f t="shared" si="137"/>
        <v>-0.51283789461924789</v>
      </c>
      <c r="M226" s="14">
        <v>1.0301138707197743</v>
      </c>
      <c r="N226" s="16">
        <f t="shared" si="138"/>
        <v>0.14360416774800241</v>
      </c>
      <c r="O226" s="14">
        <v>1.5</v>
      </c>
      <c r="P226" s="17">
        <v>-6.0000000000000053E-2</v>
      </c>
      <c r="Q226" s="14">
        <v>44795</v>
      </c>
      <c r="R226" s="14">
        <f>[1]Feuil1!J260/panel_choc_taux_suisse_2014_202!Q226</f>
        <v>15868.716156193028</v>
      </c>
      <c r="S226" s="14">
        <v>55.2</v>
      </c>
      <c r="T226" s="17">
        <f t="shared" si="131"/>
        <v>-0.67734186858805134</v>
      </c>
      <c r="U226" s="17">
        <f t="shared" si="132"/>
        <v>1.4620906154156115</v>
      </c>
      <c r="V226" s="14">
        <v>92509.966390000001</v>
      </c>
      <c r="W226" s="16">
        <f t="shared" si="139"/>
        <v>0.2220962236788058</v>
      </c>
      <c r="X226" s="14">
        <f t="shared" si="133"/>
        <v>11.435071662453224</v>
      </c>
      <c r="Y226" s="14">
        <v>3.6</v>
      </c>
      <c r="Z226" s="16">
        <f t="shared" si="140"/>
        <v>0.91870706323386231</v>
      </c>
      <c r="AA226" s="14">
        <f t="shared" si="141"/>
        <v>1.2809338454620642</v>
      </c>
      <c r="AB226" s="14">
        <v>131400</v>
      </c>
      <c r="AC226" s="17">
        <v>5158</v>
      </c>
      <c r="AD226" s="14">
        <f t="shared" si="134"/>
        <v>6.4543981380099985E-3</v>
      </c>
      <c r="AE226" s="14">
        <f t="shared" si="135"/>
        <v>0.39237437341378006</v>
      </c>
      <c r="AF226" s="14">
        <f t="shared" si="142"/>
        <v>-2.3542462404826825E-2</v>
      </c>
      <c r="AG226" s="14">
        <f t="shared" si="143"/>
        <v>-2.3824013896409323E-2</v>
      </c>
      <c r="AH226" s="14">
        <f t="shared" si="144"/>
        <v>-0.23657231902197534</v>
      </c>
      <c r="AI226" s="14">
        <f t="shared" si="153"/>
        <v>1.8490129108194253E-2</v>
      </c>
      <c r="AJ226" s="14">
        <f t="shared" si="154"/>
        <v>-4.0117332549259921E-2</v>
      </c>
      <c r="AK226" s="14">
        <f t="shared" si="155"/>
        <v>-0.69999999999999973</v>
      </c>
      <c r="AL226" s="14">
        <f t="shared" si="156"/>
        <v>4.9875415218476604E-3</v>
      </c>
    </row>
    <row r="227" spans="1:38" ht="17.25" customHeight="1" x14ac:dyDescent="0.2">
      <c r="A227" s="19" t="s">
        <v>3</v>
      </c>
      <c r="B227" s="19">
        <v>2019</v>
      </c>
      <c r="C227" s="14">
        <v>0</v>
      </c>
      <c r="D227" s="14">
        <v>0</v>
      </c>
      <c r="E227" s="14">
        <v>1</v>
      </c>
      <c r="F227" s="14">
        <v>1400.17</v>
      </c>
      <c r="G227" s="16">
        <f t="shared" si="136"/>
        <v>0.6398058233731726</v>
      </c>
      <c r="H227" s="14">
        <f t="shared" si="129"/>
        <v>7.2443489368029264</v>
      </c>
      <c r="I227" s="17">
        <v>805098</v>
      </c>
      <c r="J227" s="15">
        <v>-978</v>
      </c>
      <c r="K227" s="14">
        <f t="shared" si="130"/>
        <v>-0.12147589486000462</v>
      </c>
      <c r="L227" s="16">
        <f t="shared" si="137"/>
        <v>-0.33233088259641785</v>
      </c>
      <c r="M227" s="14">
        <v>1.036888899675622</v>
      </c>
      <c r="N227" s="16">
        <f t="shared" si="138"/>
        <v>0.42644191258817377</v>
      </c>
      <c r="O227" s="14">
        <v>1.43</v>
      </c>
      <c r="P227" s="17">
        <v>-7.0000000000000062E-2</v>
      </c>
      <c r="Q227" s="14">
        <v>45767</v>
      </c>
      <c r="R227" s="14">
        <f>[1]Feuil1!J261/panel_choc_taux_suisse_2014_202!Q227</f>
        <v>15954.000769841441</v>
      </c>
      <c r="S227" s="14">
        <v>54.5</v>
      </c>
      <c r="T227" s="17">
        <f t="shared" si="131"/>
        <v>-0.67590767987866651</v>
      </c>
      <c r="U227" s="17">
        <f t="shared" si="132"/>
        <v>1.3914169481454421</v>
      </c>
      <c r="V227" s="14">
        <v>93343</v>
      </c>
      <c r="W227" s="16">
        <f t="shared" si="139"/>
        <v>0.26935932011368618</v>
      </c>
      <c r="X227" s="14">
        <f t="shared" si="133"/>
        <v>11.444036159548698</v>
      </c>
      <c r="Y227" s="14">
        <v>3.4</v>
      </c>
      <c r="Z227" s="16">
        <f t="shared" si="140"/>
        <v>0.74642878235336874</v>
      </c>
      <c r="AA227" s="14">
        <f t="shared" si="141"/>
        <v>1.2237754316221157</v>
      </c>
      <c r="AB227" s="14">
        <v>133375</v>
      </c>
      <c r="AC227" s="17">
        <v>4733</v>
      </c>
      <c r="AD227" s="14">
        <f t="shared" si="134"/>
        <v>5.8787874271206738E-3</v>
      </c>
      <c r="AE227" s="14">
        <f t="shared" si="135"/>
        <v>0.35775463413338782</v>
      </c>
      <c r="AF227" s="14">
        <f t="shared" si="142"/>
        <v>-2.5042824389337168E-2</v>
      </c>
      <c r="AG227" s="14">
        <f t="shared" si="143"/>
        <v>-2.5361731399511145E-2</v>
      </c>
      <c r="AH227" s="14">
        <f t="shared" si="144"/>
        <v>-0.25200149138436118</v>
      </c>
      <c r="AI227" s="14">
        <f t="shared" si="153"/>
        <v>1.221569150652968E-2</v>
      </c>
      <c r="AJ227" s="14">
        <f t="shared" si="154"/>
        <v>5.8341284750704325E-2</v>
      </c>
      <c r="AK227" s="14">
        <f t="shared" si="155"/>
        <v>-0.20000000000000018</v>
      </c>
      <c r="AL227" s="14">
        <f t="shared" si="156"/>
        <v>8.9644970954747549E-3</v>
      </c>
    </row>
    <row r="228" spans="1:38" ht="17.25" customHeight="1" x14ac:dyDescent="0.2">
      <c r="A228" s="19" t="s">
        <v>3</v>
      </c>
      <c r="B228" s="19">
        <v>2020</v>
      </c>
      <c r="C228" s="14">
        <v>0</v>
      </c>
      <c r="D228" s="14">
        <v>0</v>
      </c>
      <c r="E228" s="14">
        <v>1</v>
      </c>
      <c r="F228" s="14">
        <v>1416.83</v>
      </c>
      <c r="G228" s="16">
        <f t="shared" si="136"/>
        <v>0.72425602686739843</v>
      </c>
      <c r="H228" s="14">
        <f t="shared" si="129"/>
        <v>7.2561772607221435</v>
      </c>
      <c r="I228" s="17">
        <v>814762</v>
      </c>
      <c r="J228" s="15">
        <v>-699</v>
      </c>
      <c r="K228" s="14">
        <f t="shared" si="130"/>
        <v>-8.5791924512925249E-2</v>
      </c>
      <c r="L228" s="16">
        <f t="shared" si="137"/>
        <v>-0.22192524288542734</v>
      </c>
      <c r="M228" s="14">
        <v>1.0413346451454319</v>
      </c>
      <c r="N228" s="16">
        <f t="shared" si="138"/>
        <v>0.61203884966534006</v>
      </c>
      <c r="O228" s="14">
        <v>1.33</v>
      </c>
      <c r="P228" s="17">
        <v>-9.9999999999999867E-2</v>
      </c>
      <c r="Q228" s="14">
        <v>46186</v>
      </c>
      <c r="R228" s="14">
        <f>[1]Feuil1!J262/panel_choc_taux_suisse_2014_202!Q228</f>
        <v>16226.059135344045</v>
      </c>
      <c r="S228" s="14">
        <v>54.3</v>
      </c>
      <c r="T228" s="17">
        <f t="shared" si="131"/>
        <v>-0.67133261036253933</v>
      </c>
      <c r="U228" s="17">
        <f t="shared" si="132"/>
        <v>1.3712244717825364</v>
      </c>
      <c r="V228" s="14">
        <v>94089.296530000007</v>
      </c>
      <c r="W228" s="16">
        <f t="shared" si="139"/>
        <v>0.31170129100536126</v>
      </c>
      <c r="X228" s="14">
        <f t="shared" si="133"/>
        <v>11.451999573407871</v>
      </c>
      <c r="Y228" s="14">
        <v>4.5</v>
      </c>
      <c r="Z228" s="16">
        <f t="shared" si="140"/>
        <v>1.6939593271960824</v>
      </c>
      <c r="AA228" s="14">
        <f t="shared" si="141"/>
        <v>1.5040773967762742</v>
      </c>
      <c r="AB228" s="14">
        <v>134512</v>
      </c>
      <c r="AC228" s="17">
        <v>6483</v>
      </c>
      <c r="AD228" s="14">
        <f t="shared" si="134"/>
        <v>7.9569248443103636E-3</v>
      </c>
      <c r="AE228" s="14">
        <f t="shared" si="135"/>
        <v>0.34994593070999852</v>
      </c>
      <c r="AF228" s="14">
        <f t="shared" si="142"/>
        <v>-3.4994593070999808E-2</v>
      </c>
      <c r="AG228" s="14">
        <f t="shared" si="143"/>
        <v>-3.5621574623614739E-2</v>
      </c>
      <c r="AH228" s="14">
        <f t="shared" si="144"/>
        <v>-0.35434183050597468</v>
      </c>
      <c r="AI228" s="14">
        <f t="shared" si="153"/>
        <v>1.1828323919217176E-2</v>
      </c>
      <c r="AJ228" s="14">
        <f t="shared" si="154"/>
        <v>3.5683970347079375E-2</v>
      </c>
      <c r="AK228" s="14">
        <f t="shared" si="155"/>
        <v>1.1000000000000001</v>
      </c>
      <c r="AL228" s="14">
        <f t="shared" si="156"/>
        <v>7.9634138591728743E-3</v>
      </c>
    </row>
    <row r="229" spans="1:38" ht="17.25" customHeight="1" x14ac:dyDescent="0.2">
      <c r="A229" s="19" t="s">
        <v>3</v>
      </c>
      <c r="B229" s="19">
        <v>2021</v>
      </c>
      <c r="C229" s="14">
        <v>0</v>
      </c>
      <c r="D229" s="14">
        <v>0</v>
      </c>
      <c r="E229" s="14">
        <v>1</v>
      </c>
      <c r="F229" s="14">
        <v>1434.83</v>
      </c>
      <c r="G229" s="16">
        <f t="shared" si="136"/>
        <v>0.81549874372790732</v>
      </c>
      <c r="H229" s="14">
        <f t="shared" si="129"/>
        <v>7.2688016542770093</v>
      </c>
      <c r="I229" s="17">
        <v>822968</v>
      </c>
      <c r="J229" s="15">
        <v>-968</v>
      </c>
      <c r="K229" s="14">
        <f t="shared" si="130"/>
        <v>-0.11762304245122532</v>
      </c>
      <c r="L229" s="16">
        <f t="shared" si="137"/>
        <v>-0.32041021819820503</v>
      </c>
      <c r="M229" s="14">
        <v>1.0457435779736526</v>
      </c>
      <c r="N229" s="16">
        <f t="shared" si="138"/>
        <v>0.79609896607405228</v>
      </c>
      <c r="O229" s="14">
        <v>1.25</v>
      </c>
      <c r="P229" s="17">
        <v>-8.0000000000000071E-2</v>
      </c>
      <c r="Q229" s="14">
        <v>48659</v>
      </c>
      <c r="R229" s="14">
        <f>[1]Feuil1!J263/panel_choc_taux_suisse_2014_202!Q229</f>
        <v>15889.142523479723</v>
      </c>
      <c r="S229" s="14">
        <v>55.2</v>
      </c>
      <c r="T229" s="17">
        <f t="shared" si="131"/>
        <v>-0.67699836858162465</v>
      </c>
      <c r="U229" s="17">
        <f t="shared" si="132"/>
        <v>1.4620906154156115</v>
      </c>
      <c r="V229" s="14">
        <v>93901.117939999996</v>
      </c>
      <c r="W229" s="16">
        <f t="shared" si="139"/>
        <v>0.30102476758615571</v>
      </c>
      <c r="X229" s="14">
        <f t="shared" si="133"/>
        <v>11.449997570769785</v>
      </c>
      <c r="Y229" s="14">
        <v>4.0999999999999996</v>
      </c>
      <c r="Z229" s="16">
        <f t="shared" si="140"/>
        <v>1.3494027654350953</v>
      </c>
      <c r="AA229" s="14">
        <f t="shared" si="141"/>
        <v>1.410986973710262</v>
      </c>
      <c r="AB229" s="14">
        <v>136678</v>
      </c>
      <c r="AC229" s="17">
        <v>3863</v>
      </c>
      <c r="AD229" s="14">
        <f t="shared" si="134"/>
        <v>4.6939856713748285E-3</v>
      </c>
      <c r="AE229" s="14">
        <f t="shared" si="135"/>
        <v>0.39254612341699341</v>
      </c>
      <c r="AF229" s="14">
        <f t="shared" si="142"/>
        <v>-3.1403689873359501E-2</v>
      </c>
      <c r="AG229" s="14">
        <f t="shared" si="143"/>
        <v>-3.190735851165355E-2</v>
      </c>
      <c r="AH229" s="14">
        <f t="shared" si="144"/>
        <v>-0.31741429905354562</v>
      </c>
      <c r="AI229" s="14">
        <f t="shared" si="153"/>
        <v>1.2624393554865776E-2</v>
      </c>
      <c r="AJ229" s="14">
        <f t="shared" si="154"/>
        <v>-3.1831117938300069E-2</v>
      </c>
      <c r="AK229" s="14">
        <f t="shared" si="155"/>
        <v>-0.40000000000000036</v>
      </c>
      <c r="AL229" s="14">
        <f t="shared" si="156"/>
        <v>-2.0020026380862532E-3</v>
      </c>
    </row>
    <row r="230" spans="1:38" ht="17.25" customHeight="1" x14ac:dyDescent="0.2">
      <c r="A230" s="19" t="s">
        <v>3</v>
      </c>
      <c r="B230" s="19">
        <v>2022</v>
      </c>
      <c r="C230" s="14">
        <v>0</v>
      </c>
      <c r="D230" s="14">
        <v>0</v>
      </c>
      <c r="E230" s="14">
        <v>1</v>
      </c>
      <c r="F230" s="14">
        <v>1463.33</v>
      </c>
      <c r="G230" s="16">
        <f t="shared" si="136"/>
        <v>0.95996637875704638</v>
      </c>
      <c r="H230" s="14">
        <f t="shared" si="129"/>
        <v>7.2884699394941848</v>
      </c>
      <c r="I230" s="17">
        <v>830431</v>
      </c>
      <c r="J230" s="15">
        <v>-1595</v>
      </c>
      <c r="K230" s="14">
        <f t="shared" si="130"/>
        <v>-0.19206893769620834</v>
      </c>
      <c r="L230" s="16">
        <f t="shared" si="137"/>
        <v>-0.55074464030525783</v>
      </c>
      <c r="M230" s="14">
        <v>0.98600652141555722</v>
      </c>
      <c r="N230" s="16">
        <f t="shared" si="138"/>
        <v>-1.6977493215702677</v>
      </c>
      <c r="O230" s="14">
        <v>1.21</v>
      </c>
      <c r="P230" s="17">
        <v>-4.0000000000000036E-2</v>
      </c>
      <c r="Q230" s="14">
        <v>46655</v>
      </c>
      <c r="R230" s="14">
        <f>[1]Feuil1!J264/panel_choc_taux_suisse_2014_202!Q230</f>
        <v>17064.248150609081</v>
      </c>
      <c r="S230" s="14">
        <v>53.8</v>
      </c>
      <c r="T230" s="17">
        <f t="shared" si="131"/>
        <v>-0.65723720474835334</v>
      </c>
      <c r="U230" s="17">
        <f t="shared" si="132"/>
        <v>1.3207432808752726</v>
      </c>
      <c r="V230" s="14">
        <v>94746.228000000003</v>
      </c>
      <c r="W230" s="16">
        <f t="shared" si="139"/>
        <v>0.34897303496022708</v>
      </c>
      <c r="X230" s="14">
        <f t="shared" si="133"/>
        <v>11.458957312125847</v>
      </c>
      <c r="Y230" s="14">
        <v>3.3</v>
      </c>
      <c r="Z230" s="16">
        <f t="shared" si="140"/>
        <v>0.66028964191312201</v>
      </c>
      <c r="AA230" s="14">
        <f t="shared" si="141"/>
        <v>1.1939224684724346</v>
      </c>
      <c r="AB230" s="14">
        <v>138839</v>
      </c>
      <c r="AC230" s="17">
        <v>4138</v>
      </c>
      <c r="AD230" s="14">
        <f t="shared" si="134"/>
        <v>4.9829546344006903E-3</v>
      </c>
      <c r="AE230" s="14">
        <f t="shared" si="135"/>
        <v>0.33175303806345963</v>
      </c>
      <c r="AF230" s="14">
        <f t="shared" si="142"/>
        <v>-1.3270121522538397E-2</v>
      </c>
      <c r="AG230" s="14">
        <f t="shared" si="143"/>
        <v>-1.3358956359826429E-2</v>
      </c>
      <c r="AH230" s="14">
        <f t="shared" si="144"/>
        <v>-0.1309353329650832</v>
      </c>
      <c r="AI230" s="14">
        <f t="shared" si="153"/>
        <v>1.9668285217175452E-2</v>
      </c>
      <c r="AJ230" s="14">
        <f t="shared" si="154"/>
        <v>-7.4445895244983018E-2</v>
      </c>
      <c r="AK230" s="14">
        <f t="shared" si="155"/>
        <v>-0.79999999999999982</v>
      </c>
      <c r="AL230" s="14">
        <f t="shared" si="156"/>
        <v>8.9597413560618122E-3</v>
      </c>
    </row>
    <row r="231" spans="1:38" ht="17.25" customHeight="1" x14ac:dyDescent="0.2">
      <c r="A231" s="19" t="s">
        <v>3</v>
      </c>
      <c r="B231" s="19">
        <v>2023</v>
      </c>
      <c r="C231" s="14">
        <v>0</v>
      </c>
      <c r="D231" s="14">
        <v>0</v>
      </c>
      <c r="E231" s="14">
        <v>1</v>
      </c>
      <c r="F231" s="14">
        <v>1690.57</v>
      </c>
      <c r="G231" s="16">
        <f t="shared" si="136"/>
        <v>2.1118549887227154</v>
      </c>
      <c r="H231" s="14">
        <f t="shared" si="129"/>
        <v>7.4328210291581538</v>
      </c>
      <c r="I231" s="17">
        <v>845870</v>
      </c>
      <c r="J231" s="15">
        <v>-2425</v>
      </c>
      <c r="K231" s="14">
        <f t="shared" si="130"/>
        <v>-0.28668707957487555</v>
      </c>
      <c r="L231" s="16">
        <f t="shared" si="137"/>
        <v>-0.84349167435928984</v>
      </c>
      <c r="M231" s="14">
        <v>1.0341430614279774</v>
      </c>
      <c r="N231" s="16">
        <f t="shared" si="138"/>
        <v>0.31181115562449047</v>
      </c>
      <c r="O231" s="14">
        <v>1.48</v>
      </c>
      <c r="P231" s="17">
        <v>0.27</v>
      </c>
      <c r="Q231" s="14">
        <v>47517</v>
      </c>
      <c r="R231" s="14">
        <f>[1]Feuil1!J265/panel_choc_taux_suisse_2014_202!Q231</f>
        <v>17111.525171868314</v>
      </c>
      <c r="S231" s="14">
        <v>53.6</v>
      </c>
      <c r="T231" s="17">
        <f t="shared" si="131"/>
        <v>-0.65644217071814881</v>
      </c>
      <c r="U231" s="17">
        <f t="shared" si="132"/>
        <v>1.3005508045123675</v>
      </c>
      <c r="V231" s="14">
        <v>110853.0868</v>
      </c>
      <c r="W231" s="16">
        <f t="shared" si="139"/>
        <v>1.2628137390914844</v>
      </c>
      <c r="X231" s="14">
        <f t="shared" si="133"/>
        <v>11.61596106129635</v>
      </c>
      <c r="Y231" s="14">
        <v>3.3</v>
      </c>
      <c r="Z231" s="16">
        <f t="shared" si="140"/>
        <v>0.66028964191312201</v>
      </c>
      <c r="AA231" s="14">
        <f t="shared" si="141"/>
        <v>1.1939224684724346</v>
      </c>
      <c r="AB231" s="14">
        <v>141976</v>
      </c>
      <c r="AC231" s="17">
        <v>4612</v>
      </c>
      <c r="AD231" s="14">
        <f t="shared" si="134"/>
        <v>5.4523744783477367E-3</v>
      </c>
      <c r="AE231" s="14">
        <f t="shared" si="135"/>
        <v>0.32205431689710934</v>
      </c>
      <c r="AF231" s="14">
        <f t="shared" si="142"/>
        <v>8.6954665562219521E-2</v>
      </c>
      <c r="AG231" s="14">
        <f t="shared" si="143"/>
        <v>8.3379901254834937E-2</v>
      </c>
      <c r="AH231" s="14">
        <f t="shared" si="144"/>
        <v>0.89973961806603331</v>
      </c>
      <c r="AI231" s="14">
        <f t="shared" si="153"/>
        <v>0.14435108966396903</v>
      </c>
      <c r="AJ231" s="14">
        <f t="shared" si="154"/>
        <v>-9.4618141878667211E-2</v>
      </c>
      <c r="AK231" s="14">
        <f t="shared" si="155"/>
        <v>0</v>
      </c>
      <c r="AL231" s="14">
        <f t="shared" si="156"/>
        <v>0.15700374917050297</v>
      </c>
    </row>
    <row r="232" spans="1:38" ht="17.25" customHeight="1" x14ac:dyDescent="0.2">
      <c r="A232" s="19" t="s">
        <v>2</v>
      </c>
      <c r="B232" s="19">
        <v>2014</v>
      </c>
      <c r="C232" s="14">
        <v>1</v>
      </c>
      <c r="D232" s="14">
        <v>0</v>
      </c>
      <c r="E232" s="14">
        <v>0</v>
      </c>
      <c r="F232" s="14">
        <v>1126.5</v>
      </c>
      <c r="G232" s="16">
        <f t="shared" si="136"/>
        <v>-0.74743830569435388</v>
      </c>
      <c r="H232" s="14">
        <f t="shared" si="129"/>
        <v>7.026870759872299</v>
      </c>
      <c r="I232" s="17">
        <v>331763</v>
      </c>
      <c r="J232" s="15">
        <v>614</v>
      </c>
      <c r="K232" s="14">
        <f t="shared" si="130"/>
        <v>0.18507187359651317</v>
      </c>
      <c r="L232" s="16">
        <f t="shared" si="137"/>
        <v>0.61612306322938692</v>
      </c>
      <c r="M232" s="14">
        <v>1.0281149308624065</v>
      </c>
      <c r="N232" s="16">
        <f t="shared" si="138"/>
        <v>6.0154245243822686E-2</v>
      </c>
      <c r="O232" s="14">
        <v>1.95</v>
      </c>
      <c r="P232" s="17">
        <v>0</v>
      </c>
      <c r="Q232" s="14">
        <v>15540</v>
      </c>
      <c r="R232" s="14">
        <f>[1]Feuil1!J266/panel_choc_taux_suisse_2014_202!Q232</f>
        <v>40850.214500214504</v>
      </c>
      <c r="S232" s="14">
        <v>29.6</v>
      </c>
      <c r="T232" s="17">
        <f t="shared" si="131"/>
        <v>-0.25724050052400332</v>
      </c>
      <c r="U232" s="17">
        <f t="shared" si="132"/>
        <v>-1.1225463590362914</v>
      </c>
      <c r="V232" s="14">
        <v>65063.096969999999</v>
      </c>
      <c r="W232" s="16">
        <f t="shared" si="139"/>
        <v>-1.33513270521523</v>
      </c>
      <c r="X232" s="14">
        <f t="shared" si="133"/>
        <v>11.083112800646644</v>
      </c>
      <c r="Y232" s="14">
        <v>3.9</v>
      </c>
      <c r="Z232" s="16">
        <f t="shared" si="140"/>
        <v>1.1771244845546023</v>
      </c>
      <c r="AA232" s="14">
        <f t="shared" si="141"/>
        <v>1.3609765531356006</v>
      </c>
      <c r="AB232" s="14">
        <v>59241</v>
      </c>
      <c r="AC232" s="17">
        <v>2839</v>
      </c>
      <c r="AD232" s="14">
        <f t="shared" si="134"/>
        <v>8.557313503916952E-3</v>
      </c>
      <c r="AE232" s="14">
        <f t="shared" si="135"/>
        <v>-0.68989342978014734</v>
      </c>
      <c r="AF232" s="14">
        <f t="shared" si="142"/>
        <v>0</v>
      </c>
      <c r="AG232" s="14">
        <f t="shared" si="143"/>
        <v>0</v>
      </c>
      <c r="AH232" s="14">
        <f t="shared" si="144"/>
        <v>5.5297297030243815E-3</v>
      </c>
      <c r="AI232" s="14">
        <v>0</v>
      </c>
      <c r="AJ232" s="14">
        <v>0</v>
      </c>
      <c r="AK232" s="14">
        <v>0</v>
      </c>
      <c r="AL232" s="14">
        <v>0</v>
      </c>
    </row>
    <row r="233" spans="1:38" ht="17.25" customHeight="1" x14ac:dyDescent="0.2">
      <c r="A233" s="19" t="s">
        <v>2</v>
      </c>
      <c r="B233" s="19">
        <v>2015</v>
      </c>
      <c r="C233" s="14">
        <v>1</v>
      </c>
      <c r="D233" s="14">
        <v>0</v>
      </c>
      <c r="E233" s="14">
        <v>0</v>
      </c>
      <c r="F233" s="14">
        <v>1063.67</v>
      </c>
      <c r="G233" s="16">
        <f t="shared" si="136"/>
        <v>-1.0659260779357855</v>
      </c>
      <c r="H233" s="14">
        <f t="shared" si="129"/>
        <v>6.9694804714190752</v>
      </c>
      <c r="I233" s="17">
        <v>335696</v>
      </c>
      <c r="J233" s="15">
        <v>766</v>
      </c>
      <c r="K233" s="14">
        <f t="shared" si="130"/>
        <v>0.22818264143749106</v>
      </c>
      <c r="L233" s="16">
        <f t="shared" si="137"/>
        <v>0.74950709688988815</v>
      </c>
      <c r="M233" s="14">
        <v>1.0174024043472965</v>
      </c>
      <c r="N233" s="16">
        <f t="shared" si="138"/>
        <v>-0.38706256531446542</v>
      </c>
      <c r="O233" s="14">
        <v>1.84</v>
      </c>
      <c r="P233" s="17">
        <v>-0.10999999999999988</v>
      </c>
      <c r="Q233" s="14">
        <v>16119</v>
      </c>
      <c r="R233" s="14">
        <f>[1]Feuil1!J267/panel_choc_taux_suisse_2014_202!Q233</f>
        <v>40702.412519904043</v>
      </c>
      <c r="S233" s="14">
        <v>30.8</v>
      </c>
      <c r="T233" s="17">
        <f t="shared" si="131"/>
        <v>-0.259726012532768</v>
      </c>
      <c r="U233" s="17">
        <f t="shared" si="132"/>
        <v>-1.0013915008588585</v>
      </c>
      <c r="V233" s="14">
        <v>65323.34936</v>
      </c>
      <c r="W233" s="16">
        <f t="shared" si="139"/>
        <v>-1.3203669938941966</v>
      </c>
      <c r="X233" s="14">
        <f t="shared" si="133"/>
        <v>11.087104821948635</v>
      </c>
      <c r="Y233" s="14">
        <v>4</v>
      </c>
      <c r="Z233" s="16">
        <f t="shared" si="140"/>
        <v>1.263263624994849</v>
      </c>
      <c r="AA233" s="14">
        <f t="shared" si="141"/>
        <v>1.3862943611198906</v>
      </c>
      <c r="AB233" s="14">
        <v>61249</v>
      </c>
      <c r="AC233" s="17">
        <v>3241</v>
      </c>
      <c r="AD233" s="14">
        <f t="shared" si="134"/>
        <v>9.6545684190458038E-3</v>
      </c>
      <c r="AE233" s="14">
        <f t="shared" si="135"/>
        <v>-0.63055875669581329</v>
      </c>
      <c r="AF233" s="14">
        <f t="shared" si="142"/>
        <v>6.9361463236539384E-2</v>
      </c>
      <c r="AG233" s="14">
        <f t="shared" si="143"/>
        <v>6.706170700936874E-2</v>
      </c>
      <c r="AH233" s="14">
        <f t="shared" si="144"/>
        <v>0.71881757799059443</v>
      </c>
      <c r="AI233" s="14">
        <f t="shared" ref="AI233:AI241" si="157">LN(F233)-LN(F232)</f>
        <v>-5.7390288453223803E-2</v>
      </c>
      <c r="AJ233" s="14">
        <f t="shared" ref="AJ233:AJ241" si="158">K233-K232</f>
        <v>4.3110767840977893E-2</v>
      </c>
      <c r="AK233" s="14">
        <f t="shared" ref="AK233:AK241" si="159">Y233-Y232</f>
        <v>0.10000000000000009</v>
      </c>
      <c r="AL233" s="14">
        <f t="shared" ref="AL233:AL241" si="160">LN(V233)-LN(V232)</f>
        <v>3.9920213019914996E-3</v>
      </c>
    </row>
    <row r="234" spans="1:38" ht="17.25" customHeight="1" x14ac:dyDescent="0.2">
      <c r="A234" s="19" t="s">
        <v>2</v>
      </c>
      <c r="B234" s="19">
        <v>2016</v>
      </c>
      <c r="C234" s="14">
        <v>1</v>
      </c>
      <c r="D234" s="14">
        <v>0</v>
      </c>
      <c r="E234" s="14">
        <v>0</v>
      </c>
      <c r="F234" s="14">
        <v>1066.83</v>
      </c>
      <c r="G234" s="16">
        <f t="shared" si="136"/>
        <v>-1.0499079120869412</v>
      </c>
      <c r="H234" s="14">
        <f t="shared" si="129"/>
        <v>6.9724469133972722</v>
      </c>
      <c r="I234" s="17">
        <v>339176</v>
      </c>
      <c r="J234" s="15">
        <v>650</v>
      </c>
      <c r="K234" s="14">
        <f t="shared" si="130"/>
        <v>0.19164091798948038</v>
      </c>
      <c r="L234" s="16">
        <f t="shared" si="137"/>
        <v>0.63644758265481016</v>
      </c>
      <c r="M234" s="14">
        <v>0.98347652295718835</v>
      </c>
      <c r="N234" s="16">
        <f t="shared" si="138"/>
        <v>-1.8033693953850858</v>
      </c>
      <c r="O234" s="14">
        <v>1.71</v>
      </c>
      <c r="P234" s="17">
        <v>-0.13000000000000012</v>
      </c>
      <c r="Q234" s="14">
        <v>16574</v>
      </c>
      <c r="R234" s="14">
        <f>[1]Feuil1!J268/panel_choc_taux_suisse_2014_202!Q234</f>
        <v>40761.620062547765</v>
      </c>
      <c r="S234" s="14">
        <v>31.8</v>
      </c>
      <c r="T234" s="17">
        <f t="shared" si="131"/>
        <v>-0.25873034888914631</v>
      </c>
      <c r="U234" s="17">
        <f t="shared" si="132"/>
        <v>-0.90042911904433121</v>
      </c>
      <c r="V234" s="14">
        <v>65780.612800000003</v>
      </c>
      <c r="W234" s="16">
        <f t="shared" si="139"/>
        <v>-1.2944236396268156</v>
      </c>
      <c r="X234" s="14">
        <f t="shared" si="133"/>
        <v>11.094080435601144</v>
      </c>
      <c r="Y234" s="14">
        <v>3.9</v>
      </c>
      <c r="Z234" s="16">
        <f t="shared" si="140"/>
        <v>1.1771244845546023</v>
      </c>
      <c r="AA234" s="14">
        <f t="shared" si="141"/>
        <v>1.3609765531356006</v>
      </c>
      <c r="AB234" s="14">
        <v>62936</v>
      </c>
      <c r="AC234" s="17">
        <v>3335</v>
      </c>
      <c r="AD234" s="14">
        <f t="shared" si="134"/>
        <v>9.8326532537679548E-3</v>
      </c>
      <c r="AE234" s="14">
        <f t="shared" si="135"/>
        <v>-0.57957973396673879</v>
      </c>
      <c r="AF234" s="14">
        <f t="shared" si="142"/>
        <v>7.5345365415676116E-2</v>
      </c>
      <c r="AG234" s="14">
        <f t="shared" si="143"/>
        <v>7.2641880137538098E-2</v>
      </c>
      <c r="AH234" s="14">
        <f t="shared" si="144"/>
        <v>0.78035383329080332</v>
      </c>
      <c r="AI234" s="14">
        <f t="shared" si="157"/>
        <v>2.9664419781969542E-3</v>
      </c>
      <c r="AJ234" s="14">
        <f t="shared" si="158"/>
        <v>-3.6541723448010682E-2</v>
      </c>
      <c r="AK234" s="14">
        <f t="shared" si="159"/>
        <v>-0.10000000000000009</v>
      </c>
      <c r="AL234" s="14">
        <f t="shared" si="160"/>
        <v>6.9756136525089829E-3</v>
      </c>
    </row>
    <row r="235" spans="1:38" ht="17.25" customHeight="1" x14ac:dyDescent="0.2">
      <c r="A235" s="19" t="s">
        <v>2</v>
      </c>
      <c r="B235" s="19">
        <v>2017</v>
      </c>
      <c r="C235" s="14">
        <v>1</v>
      </c>
      <c r="D235" s="14">
        <v>0</v>
      </c>
      <c r="E235" s="14">
        <v>0</v>
      </c>
      <c r="F235" s="14">
        <v>1118.5</v>
      </c>
      <c r="G235" s="16">
        <f t="shared" si="136"/>
        <v>-0.78799062429902456</v>
      </c>
      <c r="H235" s="14">
        <f t="shared" si="129"/>
        <v>7.0197437809301846</v>
      </c>
      <c r="I235" s="17">
        <v>341463</v>
      </c>
      <c r="J235" s="15">
        <v>929</v>
      </c>
      <c r="K235" s="14">
        <f t="shared" si="130"/>
        <v>0.27206461607846238</v>
      </c>
      <c r="L235" s="16">
        <f t="shared" si="137"/>
        <v>0.885277232188592</v>
      </c>
      <c r="M235" s="14">
        <v>1.0635156673797794</v>
      </c>
      <c r="N235" s="16">
        <f t="shared" si="138"/>
        <v>1.5380319853253162</v>
      </c>
      <c r="O235" s="14">
        <v>1.56</v>
      </c>
      <c r="P235" s="17">
        <v>-0.14999999999999991</v>
      </c>
      <c r="Q235" s="14">
        <v>16470</v>
      </c>
      <c r="R235" s="14">
        <f>[1]Feuil1!J269/panel_choc_taux_suisse_2014_202!Q235</f>
        <v>42038.403719894748</v>
      </c>
      <c r="S235" s="14">
        <v>31.6</v>
      </c>
      <c r="T235" s="17">
        <f t="shared" si="131"/>
        <v>-0.23725931645599155</v>
      </c>
      <c r="U235" s="17">
        <f t="shared" si="132"/>
        <v>-0.92062159540723654</v>
      </c>
      <c r="V235" s="14">
        <v>66043.735260000001</v>
      </c>
      <c r="W235" s="16">
        <f t="shared" si="139"/>
        <v>-1.2794950916644316</v>
      </c>
      <c r="X235" s="14">
        <f t="shared" si="133"/>
        <v>11.098072457003928</v>
      </c>
      <c r="Y235" s="14">
        <v>3.5</v>
      </c>
      <c r="Z235" s="16">
        <f t="shared" si="140"/>
        <v>0.83256792279361558</v>
      </c>
      <c r="AA235" s="14">
        <f t="shared" si="141"/>
        <v>1.2527629684953681</v>
      </c>
      <c r="AB235" s="14">
        <v>65999</v>
      </c>
      <c r="AC235" s="17">
        <v>2881</v>
      </c>
      <c r="AD235" s="14">
        <f t="shared" si="134"/>
        <v>8.4372245309155026E-3</v>
      </c>
      <c r="AE235" s="14">
        <f t="shared" si="135"/>
        <v>-0.57894045593161403</v>
      </c>
      <c r="AF235" s="14">
        <f t="shared" si="142"/>
        <v>8.6841068389742052E-2</v>
      </c>
      <c r="AG235" s="14">
        <f t="shared" si="143"/>
        <v>8.3275386216180053E-2</v>
      </c>
      <c r="AH235" s="14">
        <f t="shared" si="144"/>
        <v>0.89857142640820042</v>
      </c>
      <c r="AI235" s="14">
        <f t="shared" si="157"/>
        <v>4.7296867532912401E-2</v>
      </c>
      <c r="AJ235" s="14">
        <f t="shared" si="158"/>
        <v>8.0423698088982004E-2</v>
      </c>
      <c r="AK235" s="14">
        <f t="shared" si="159"/>
        <v>-0.39999999999999991</v>
      </c>
      <c r="AL235" s="14">
        <f t="shared" si="160"/>
        <v>3.9920214027837631E-3</v>
      </c>
    </row>
    <row r="236" spans="1:38" ht="17.25" customHeight="1" x14ac:dyDescent="0.2">
      <c r="A236" s="19" t="s">
        <v>2</v>
      </c>
      <c r="B236" s="19">
        <v>2018</v>
      </c>
      <c r="C236" s="14">
        <v>1</v>
      </c>
      <c r="D236" s="14">
        <v>0</v>
      </c>
      <c r="E236" s="14">
        <v>0</v>
      </c>
      <c r="F236" s="14">
        <v>1114</v>
      </c>
      <c r="G236" s="16">
        <f t="shared" si="136"/>
        <v>-0.81080130351415169</v>
      </c>
      <c r="H236" s="14">
        <f t="shared" si="129"/>
        <v>7.0157124204872297</v>
      </c>
      <c r="I236" s="17">
        <v>343955</v>
      </c>
      <c r="J236" s="15">
        <v>1316</v>
      </c>
      <c r="K236" s="14">
        <f t="shared" si="130"/>
        <v>0.38260819002485791</v>
      </c>
      <c r="L236" s="16">
        <f t="shared" si="137"/>
        <v>1.2272973011098154</v>
      </c>
      <c r="M236" s="14">
        <v>1.0301138707197743</v>
      </c>
      <c r="N236" s="16">
        <f t="shared" si="138"/>
        <v>0.14360416774800241</v>
      </c>
      <c r="O236" s="14">
        <v>1.5</v>
      </c>
      <c r="P236" s="17">
        <v>-6.0000000000000053E-2</v>
      </c>
      <c r="Q236" s="14">
        <v>15904</v>
      </c>
      <c r="R236" s="14">
        <f>[1]Feuil1!J270/panel_choc_taux_suisse_2014_202!Q236</f>
        <v>44695.619983442324</v>
      </c>
      <c r="S236" s="14">
        <v>30.8</v>
      </c>
      <c r="T236" s="17">
        <f t="shared" si="131"/>
        <v>-0.19257423903646498</v>
      </c>
      <c r="U236" s="17">
        <f t="shared" si="132"/>
        <v>-1.0013915008588585</v>
      </c>
      <c r="V236" s="14">
        <v>66373.953930000003</v>
      </c>
      <c r="W236" s="16">
        <f t="shared" si="139"/>
        <v>-1.2607597649531743</v>
      </c>
      <c r="X236" s="14">
        <f t="shared" si="133"/>
        <v>11.103059998420051</v>
      </c>
      <c r="Y236" s="14">
        <v>3</v>
      </c>
      <c r="Z236" s="16">
        <f t="shared" si="140"/>
        <v>0.40187222059238209</v>
      </c>
      <c r="AA236" s="14">
        <f t="shared" si="141"/>
        <v>1.0986122886681098</v>
      </c>
      <c r="AB236" s="14">
        <v>67450</v>
      </c>
      <c r="AC236" s="17">
        <v>3088</v>
      </c>
      <c r="AD236" s="14">
        <f t="shared" si="134"/>
        <v>8.9779186230756931E-3</v>
      </c>
      <c r="AE236" s="14">
        <f t="shared" si="135"/>
        <v>-0.59698286994766181</v>
      </c>
      <c r="AF236" s="14">
        <f t="shared" si="142"/>
        <v>3.5818972196859741E-2</v>
      </c>
      <c r="AG236" s="14">
        <f t="shared" si="143"/>
        <v>3.5192391307239015E-2</v>
      </c>
      <c r="AH236" s="14">
        <f t="shared" si="144"/>
        <v>0.37387890248562983</v>
      </c>
      <c r="AI236" s="14">
        <f t="shared" si="157"/>
        <v>-4.0313604429549343E-3</v>
      </c>
      <c r="AJ236" s="14">
        <f t="shared" si="158"/>
        <v>0.11054357394639552</v>
      </c>
      <c r="AK236" s="14">
        <f t="shared" si="159"/>
        <v>-0.5</v>
      </c>
      <c r="AL236" s="14">
        <f t="shared" si="160"/>
        <v>4.9875414161224541E-3</v>
      </c>
    </row>
    <row r="237" spans="1:38" ht="17.25" customHeight="1" x14ac:dyDescent="0.2">
      <c r="A237" s="19" t="s">
        <v>2</v>
      </c>
      <c r="B237" s="19">
        <v>2019</v>
      </c>
      <c r="C237" s="14">
        <v>1</v>
      </c>
      <c r="D237" s="14">
        <v>0</v>
      </c>
      <c r="E237" s="14">
        <v>0</v>
      </c>
      <c r="F237" s="14">
        <v>1139.17</v>
      </c>
      <c r="G237" s="16">
        <f t="shared" si="136"/>
        <v>-0.68321357110420644</v>
      </c>
      <c r="H237" s="14">
        <f t="shared" si="129"/>
        <v>7.0380552060412951</v>
      </c>
      <c r="I237" s="17">
        <v>345525</v>
      </c>
      <c r="J237" s="15">
        <v>1099</v>
      </c>
      <c r="K237" s="14">
        <f t="shared" si="130"/>
        <v>0.3180667100788655</v>
      </c>
      <c r="L237" s="16">
        <f t="shared" si="137"/>
        <v>1.0276069832437549</v>
      </c>
      <c r="M237" s="14">
        <v>1.036888899675622</v>
      </c>
      <c r="N237" s="16">
        <f t="shared" si="138"/>
        <v>0.42644191258817377</v>
      </c>
      <c r="O237" s="14">
        <v>1.43</v>
      </c>
      <c r="P237" s="17">
        <v>-7.0000000000000062E-2</v>
      </c>
      <c r="Q237" s="14">
        <v>15905</v>
      </c>
      <c r="R237" s="14">
        <f>[1]Feuil1!J271/panel_choc_taux_suisse_2014_202!Q237</f>
        <v>45908.000832023463</v>
      </c>
      <c r="S237" s="14">
        <v>30.3</v>
      </c>
      <c r="T237" s="17">
        <f t="shared" si="131"/>
        <v>-0.17218623643991623</v>
      </c>
      <c r="U237" s="17">
        <f t="shared" si="132"/>
        <v>-1.0518726917661223</v>
      </c>
      <c r="V237" s="14">
        <v>66971</v>
      </c>
      <c r="W237" s="16">
        <f t="shared" si="139"/>
        <v>-1.2268856863521005</v>
      </c>
      <c r="X237" s="14">
        <f t="shared" si="133"/>
        <v>11.112014968851744</v>
      </c>
      <c r="Y237" s="14">
        <v>2.7</v>
      </c>
      <c r="Z237" s="16">
        <f t="shared" si="140"/>
        <v>0.14345479927164217</v>
      </c>
      <c r="AA237" s="14">
        <f t="shared" si="141"/>
        <v>0.99325177301028345</v>
      </c>
      <c r="AB237" s="14">
        <v>68835</v>
      </c>
      <c r="AC237" s="17">
        <v>2436</v>
      </c>
      <c r="AD237" s="14">
        <f t="shared" si="134"/>
        <v>7.0501410896461909E-3</v>
      </c>
      <c r="AE237" s="14">
        <f t="shared" si="135"/>
        <v>-0.61202946410301928</v>
      </c>
      <c r="AF237" s="14">
        <f t="shared" si="142"/>
        <v>4.2842062487211389E-2</v>
      </c>
      <c r="AG237" s="14">
        <f t="shared" si="143"/>
        <v>4.1949738365774897E-2</v>
      </c>
      <c r="AH237" s="14">
        <f t="shared" si="144"/>
        <v>0.44610178717955123</v>
      </c>
      <c r="AI237" s="14">
        <f t="shared" si="157"/>
        <v>2.2342785554065436E-2</v>
      </c>
      <c r="AJ237" s="14">
        <f t="shared" si="158"/>
        <v>-6.4541479945992408E-2</v>
      </c>
      <c r="AK237" s="14">
        <f t="shared" si="159"/>
        <v>-0.29999999999999982</v>
      </c>
      <c r="AL237" s="14">
        <f t="shared" si="160"/>
        <v>8.9549704316933543E-3</v>
      </c>
    </row>
    <row r="238" spans="1:38" ht="17.25" customHeight="1" x14ac:dyDescent="0.2">
      <c r="A238" s="19" t="s">
        <v>2</v>
      </c>
      <c r="B238" s="19">
        <v>2020</v>
      </c>
      <c r="C238" s="14">
        <v>1</v>
      </c>
      <c r="D238" s="14">
        <v>0</v>
      </c>
      <c r="E238" s="14">
        <v>0</v>
      </c>
      <c r="F238" s="14">
        <v>1144.83</v>
      </c>
      <c r="G238" s="16">
        <f t="shared" si="136"/>
        <v>-0.65452280569140275</v>
      </c>
      <c r="H238" s="14">
        <f t="shared" si="129"/>
        <v>7.0430114333496183</v>
      </c>
      <c r="I238" s="17">
        <v>348503</v>
      </c>
      <c r="J238" s="15">
        <v>1252</v>
      </c>
      <c r="K238" s="14">
        <f t="shared" si="130"/>
        <v>0.35925085293383413</v>
      </c>
      <c r="L238" s="16">
        <f t="shared" si="137"/>
        <v>1.1550300696779636</v>
      </c>
      <c r="M238" s="14">
        <v>1.0413346451454319</v>
      </c>
      <c r="N238" s="16">
        <f t="shared" si="138"/>
        <v>0.61203884966534006</v>
      </c>
      <c r="O238" s="14">
        <v>1.33</v>
      </c>
      <c r="P238" s="17">
        <v>-9.9999999999999867E-2</v>
      </c>
      <c r="Q238" s="14">
        <v>16336</v>
      </c>
      <c r="R238" s="14">
        <f>[1]Feuil1!J272/panel_choc_taux_suisse_2014_202!Q238</f>
        <v>45875.169394282566</v>
      </c>
      <c r="S238" s="14">
        <v>30.6</v>
      </c>
      <c r="T238" s="17">
        <f t="shared" si="131"/>
        <v>-0.17273834631421292</v>
      </c>
      <c r="U238" s="17">
        <f t="shared" si="132"/>
        <v>-1.0215839772217641</v>
      </c>
      <c r="V238" s="14">
        <v>67507.090070000006</v>
      </c>
      <c r="W238" s="16">
        <f t="shared" si="139"/>
        <v>-1.1964700147969132</v>
      </c>
      <c r="X238" s="14">
        <f t="shared" si="133"/>
        <v>11.119987909418583</v>
      </c>
      <c r="Y238" s="14">
        <v>3.8</v>
      </c>
      <c r="Z238" s="16">
        <f t="shared" si="140"/>
        <v>1.0909853441143555</v>
      </c>
      <c r="AA238" s="14">
        <f t="shared" si="141"/>
        <v>1.33500106673234</v>
      </c>
      <c r="AB238" s="14">
        <v>70012</v>
      </c>
      <c r="AC238" s="17">
        <v>2209</v>
      </c>
      <c r="AD238" s="14">
        <f t="shared" si="134"/>
        <v>6.3385394099907321E-3</v>
      </c>
      <c r="AE238" s="14">
        <f t="shared" si="135"/>
        <v>-0.5971611617679885</v>
      </c>
      <c r="AF238" s="14">
        <f t="shared" si="142"/>
        <v>5.971611617679877E-2</v>
      </c>
      <c r="AG238" s="14">
        <f t="shared" si="143"/>
        <v>5.8001057327605417E-2</v>
      </c>
      <c r="AH238" s="14">
        <f t="shared" si="144"/>
        <v>0.61962836644286412</v>
      </c>
      <c r="AI238" s="14">
        <f t="shared" si="157"/>
        <v>4.9562273083232355E-3</v>
      </c>
      <c r="AJ238" s="14">
        <f t="shared" si="158"/>
        <v>4.1184142854968631E-2</v>
      </c>
      <c r="AK238" s="14">
        <f t="shared" si="159"/>
        <v>1.0999999999999996</v>
      </c>
      <c r="AL238" s="14">
        <f t="shared" si="160"/>
        <v>7.9729405668391706E-3</v>
      </c>
    </row>
    <row r="239" spans="1:38" ht="17.25" customHeight="1" x14ac:dyDescent="0.2">
      <c r="A239" s="19" t="s">
        <v>2</v>
      </c>
      <c r="B239" s="19">
        <v>2021</v>
      </c>
      <c r="C239" s="14">
        <v>1</v>
      </c>
      <c r="D239" s="14">
        <v>0</v>
      </c>
      <c r="E239" s="14">
        <v>0</v>
      </c>
      <c r="F239" s="14">
        <v>1159.67</v>
      </c>
      <c r="G239" s="16">
        <f t="shared" si="136"/>
        <v>-0.57929825467973795</v>
      </c>
      <c r="H239" s="14">
        <f t="shared" si="129"/>
        <v>7.0558907608688939</v>
      </c>
      <c r="I239" s="17">
        <v>353209</v>
      </c>
      <c r="J239" s="15">
        <v>1837</v>
      </c>
      <c r="K239" s="14">
        <f t="shared" si="130"/>
        <v>0.52008867271219028</v>
      </c>
      <c r="L239" s="16">
        <f t="shared" si="137"/>
        <v>1.6526597395166451</v>
      </c>
      <c r="M239" s="14">
        <v>1.0457435779736526</v>
      </c>
      <c r="N239" s="16">
        <f t="shared" si="138"/>
        <v>0.79609896607405228</v>
      </c>
      <c r="O239" s="14">
        <v>1.25</v>
      </c>
      <c r="P239" s="17">
        <v>-8.0000000000000071E-2</v>
      </c>
      <c r="Q239" s="14">
        <v>15917</v>
      </c>
      <c r="R239" s="14">
        <f>[1]Feuil1!J273/panel_choc_taux_suisse_2014_202!Q239</f>
        <v>48573.838414902297</v>
      </c>
      <c r="S239" s="14">
        <v>31.4</v>
      </c>
      <c r="T239" s="17">
        <f t="shared" si="131"/>
        <v>-0.12735617860345461</v>
      </c>
      <c r="U239" s="17">
        <f t="shared" si="132"/>
        <v>-0.94081407177014231</v>
      </c>
      <c r="V239" s="14">
        <v>67372.075889999993</v>
      </c>
      <c r="W239" s="16">
        <f t="shared" si="139"/>
        <v>-1.2041301957701838</v>
      </c>
      <c r="X239" s="14">
        <f t="shared" si="133"/>
        <v>11.117985906749988</v>
      </c>
      <c r="Y239" s="14">
        <v>3.3</v>
      </c>
      <c r="Z239" s="16">
        <f t="shared" si="140"/>
        <v>0.66028964191312201</v>
      </c>
      <c r="AA239" s="14">
        <f t="shared" si="141"/>
        <v>1.1939224684724346</v>
      </c>
      <c r="AB239" s="14">
        <v>71765</v>
      </c>
      <c r="AC239" s="17">
        <v>2869</v>
      </c>
      <c r="AD239" s="14">
        <f t="shared" si="134"/>
        <v>8.1226695808996937E-3</v>
      </c>
      <c r="AE239" s="14">
        <f t="shared" si="135"/>
        <v>-0.5340851251867984</v>
      </c>
      <c r="AF239" s="14">
        <f t="shared" si="142"/>
        <v>4.2726810014943911E-2</v>
      </c>
      <c r="AG239" s="14">
        <f t="shared" si="143"/>
        <v>4.1839214590794808E-2</v>
      </c>
      <c r="AH239" s="14">
        <f t="shared" si="144"/>
        <v>0.44491657302579063</v>
      </c>
      <c r="AI239" s="14">
        <f t="shared" si="157"/>
        <v>1.2879327519275563E-2</v>
      </c>
      <c r="AJ239" s="14">
        <f t="shared" si="158"/>
        <v>0.16083781977835615</v>
      </c>
      <c r="AK239" s="14">
        <f t="shared" si="159"/>
        <v>-0.5</v>
      </c>
      <c r="AL239" s="14">
        <f t="shared" si="160"/>
        <v>-2.0020026685951819E-3</v>
      </c>
    </row>
    <row r="240" spans="1:38" ht="17.25" customHeight="1" x14ac:dyDescent="0.2">
      <c r="A240" s="19" t="s">
        <v>2</v>
      </c>
      <c r="B240" s="19">
        <v>2022</v>
      </c>
      <c r="C240" s="14">
        <v>1</v>
      </c>
      <c r="D240" s="14">
        <v>0</v>
      </c>
      <c r="E240" s="14">
        <v>0</v>
      </c>
      <c r="F240" s="14">
        <v>1182.83</v>
      </c>
      <c r="G240" s="16">
        <f t="shared" si="136"/>
        <v>-0.46189929231921728</v>
      </c>
      <c r="H240" s="14">
        <f t="shared" si="129"/>
        <v>7.0756651512008055</v>
      </c>
      <c r="I240" s="17">
        <v>357282</v>
      </c>
      <c r="J240" s="15">
        <v>1490</v>
      </c>
      <c r="K240" s="14">
        <f t="shared" si="130"/>
        <v>0.4170375221813582</v>
      </c>
      <c r="L240" s="16">
        <f t="shared" si="137"/>
        <v>1.3338211101083202</v>
      </c>
      <c r="M240" s="14">
        <v>0.98600652141555722</v>
      </c>
      <c r="N240" s="16">
        <f t="shared" si="138"/>
        <v>-1.6977493215702677</v>
      </c>
      <c r="O240" s="14">
        <v>1.21</v>
      </c>
      <c r="P240" s="17">
        <v>-4.0000000000000036E-2</v>
      </c>
      <c r="Q240" s="14">
        <v>15356</v>
      </c>
      <c r="R240" s="14">
        <f>[1]Feuil1!J274/panel_choc_taux_suisse_2014_202!Q240</f>
        <v>51845.044117391684</v>
      </c>
      <c r="S240" s="14">
        <v>30.7</v>
      </c>
      <c r="T240" s="17">
        <f t="shared" si="131"/>
        <v>-7.2345947755408355E-2</v>
      </c>
      <c r="U240" s="17">
        <f t="shared" si="132"/>
        <v>-1.0114877390403114</v>
      </c>
      <c r="V240" s="14">
        <v>67978.424580000006</v>
      </c>
      <c r="W240" s="16">
        <f t="shared" si="139"/>
        <v>-1.1697283225868988</v>
      </c>
      <c r="X240" s="14">
        <f t="shared" si="133"/>
        <v>11.126945648224286</v>
      </c>
      <c r="Y240" s="14">
        <v>2.2999999999999998</v>
      </c>
      <c r="Z240" s="16">
        <f t="shared" si="140"/>
        <v>-0.20110176248934492</v>
      </c>
      <c r="AA240" s="14">
        <f t="shared" si="141"/>
        <v>0.83290912293510388</v>
      </c>
      <c r="AB240" s="14">
        <v>73279</v>
      </c>
      <c r="AC240" s="17">
        <v>2315</v>
      </c>
      <c r="AD240" s="14">
        <f t="shared" si="134"/>
        <v>6.4794755963076787E-3</v>
      </c>
      <c r="AE240" s="14">
        <f t="shared" si="135"/>
        <v>-0.54191684339785984</v>
      </c>
      <c r="AF240" s="14">
        <f t="shared" si="142"/>
        <v>2.1676673735914413E-2</v>
      </c>
      <c r="AG240" s="14">
        <f t="shared" si="143"/>
        <v>2.1445075519646643E-2</v>
      </c>
      <c r="AH240" s="14">
        <f t="shared" si="144"/>
        <v>0.22844469207044024</v>
      </c>
      <c r="AI240" s="14">
        <f t="shared" si="157"/>
        <v>1.977439033191164E-2</v>
      </c>
      <c r="AJ240" s="14">
        <f t="shared" si="158"/>
        <v>-0.10305115053083208</v>
      </c>
      <c r="AK240" s="14">
        <f t="shared" si="159"/>
        <v>-1</v>
      </c>
      <c r="AL240" s="14">
        <f t="shared" si="160"/>
        <v>8.9597414742978998E-3</v>
      </c>
    </row>
    <row r="241" spans="1:38" ht="17.25" customHeight="1" x14ac:dyDescent="0.2">
      <c r="A241" s="19" t="s">
        <v>2</v>
      </c>
      <c r="B241" s="19">
        <v>2023</v>
      </c>
      <c r="C241" s="14">
        <v>1</v>
      </c>
      <c r="D241" s="14">
        <v>0</v>
      </c>
      <c r="E241" s="14">
        <v>0</v>
      </c>
      <c r="F241" s="14">
        <v>1339</v>
      </c>
      <c r="G241" s="16">
        <f t="shared" si="136"/>
        <v>0.32973265724220946</v>
      </c>
      <c r="H241" s="14">
        <f t="shared" si="129"/>
        <v>7.1996783456911722</v>
      </c>
      <c r="I241" s="17">
        <v>365844</v>
      </c>
      <c r="J241" s="15">
        <v>1292</v>
      </c>
      <c r="K241" s="14">
        <f t="shared" si="130"/>
        <v>0.35315598998480224</v>
      </c>
      <c r="L241" s="16">
        <f t="shared" si="137"/>
        <v>1.1361726601382274</v>
      </c>
      <c r="M241" s="14">
        <v>1.0341430614279774</v>
      </c>
      <c r="N241" s="16">
        <f t="shared" si="138"/>
        <v>0.31181115562449047</v>
      </c>
      <c r="O241" s="14">
        <v>1.48</v>
      </c>
      <c r="P241" s="17">
        <v>0.27</v>
      </c>
      <c r="Q241" s="14">
        <v>16149</v>
      </c>
      <c r="R241" s="14">
        <f>[1]Feuil1!J275/panel_choc_taux_suisse_2014_202!Q241</f>
        <v>50349.144937251018</v>
      </c>
      <c r="S241" s="14">
        <v>29.9</v>
      </c>
      <c r="T241" s="17">
        <f t="shared" si="131"/>
        <v>-9.7501736387813426E-2</v>
      </c>
      <c r="U241" s="17">
        <f t="shared" si="132"/>
        <v>-1.0922576444919336</v>
      </c>
      <c r="V241" s="14">
        <v>79534.75675</v>
      </c>
      <c r="W241" s="16">
        <f t="shared" si="139"/>
        <v>-0.51406685199602886</v>
      </c>
      <c r="X241" s="14">
        <f t="shared" si="133"/>
        <v>11.283949396925822</v>
      </c>
      <c r="Y241" s="14">
        <v>2.2999999999999998</v>
      </c>
      <c r="Z241" s="16">
        <f t="shared" si="140"/>
        <v>-0.20110176248934492</v>
      </c>
      <c r="AA241" s="14">
        <f t="shared" si="141"/>
        <v>0.83290912293510388</v>
      </c>
      <c r="AB241" s="14">
        <v>75330</v>
      </c>
      <c r="AC241" s="17">
        <v>2297</v>
      </c>
      <c r="AD241" s="14">
        <f t="shared" si="134"/>
        <v>6.2786324225626222E-3</v>
      </c>
      <c r="AE241" s="14">
        <f t="shared" si="135"/>
        <v>-0.59487969043987354</v>
      </c>
      <c r="AF241" s="14">
        <f t="shared" si="142"/>
        <v>-0.16061751641876587</v>
      </c>
      <c r="AG241" s="14">
        <f t="shared" si="143"/>
        <v>-0.17508879608542574</v>
      </c>
      <c r="AH241" s="14">
        <f t="shared" si="144"/>
        <v>-1.6462018996159158</v>
      </c>
      <c r="AI241" s="14">
        <f t="shared" si="157"/>
        <v>0.12401319449036663</v>
      </c>
      <c r="AJ241" s="14">
        <f t="shared" si="158"/>
        <v>-6.3881532196555957E-2</v>
      </c>
      <c r="AK241" s="14">
        <f t="shared" si="159"/>
        <v>0</v>
      </c>
      <c r="AL241" s="14">
        <f t="shared" si="160"/>
        <v>0.15700374870153588</v>
      </c>
    </row>
    <row r="242" spans="1:38" ht="17.25" customHeight="1" x14ac:dyDescent="0.2">
      <c r="A242" s="19" t="s">
        <v>1</v>
      </c>
      <c r="B242" s="19">
        <v>2014</v>
      </c>
      <c r="C242" s="14">
        <v>0</v>
      </c>
      <c r="D242" s="14">
        <v>1</v>
      </c>
      <c r="E242" s="14">
        <v>0</v>
      </c>
      <c r="F242" s="14">
        <v>1732.5</v>
      </c>
      <c r="G242" s="16">
        <f t="shared" si="136"/>
        <v>2.3243998286094456</v>
      </c>
      <c r="H242" s="14">
        <f t="shared" si="129"/>
        <v>7.4573207310640584</v>
      </c>
      <c r="I242" s="17">
        <v>120089</v>
      </c>
      <c r="J242" s="15">
        <v>467</v>
      </c>
      <c r="K242" s="14">
        <f t="shared" si="130"/>
        <v>0.38887824863226439</v>
      </c>
      <c r="L242" s="16">
        <f t="shared" si="137"/>
        <v>1.2466967632448571</v>
      </c>
      <c r="M242" s="14">
        <v>1.0281149308624065</v>
      </c>
      <c r="N242" s="16">
        <f t="shared" si="138"/>
        <v>6.0154245243822686E-2</v>
      </c>
      <c r="O242" s="14">
        <v>1.95</v>
      </c>
      <c r="P242" s="17">
        <v>0</v>
      </c>
      <c r="Q242" s="14">
        <v>19007</v>
      </c>
      <c r="R242" s="14">
        <f>[1]Feuil1!J276/panel_choc_taux_suisse_2014_202!Q242</f>
        <v>33398.870591536455</v>
      </c>
      <c r="S242" s="14">
        <v>18.3</v>
      </c>
      <c r="T242" s="17">
        <f t="shared" si="131"/>
        <v>-0.3825460257108263</v>
      </c>
      <c r="U242" s="17">
        <f t="shared" si="132"/>
        <v>-2.2634212735404518</v>
      </c>
      <c r="V242" s="14">
        <v>135037.34099999999</v>
      </c>
      <c r="W242" s="16">
        <f t="shared" si="139"/>
        <v>2.6349345331855689</v>
      </c>
      <c r="X242" s="14">
        <f t="shared" si="133"/>
        <v>11.813306619173838</v>
      </c>
      <c r="Y242" s="14">
        <v>2.1</v>
      </c>
      <c r="Z242" s="16">
        <f t="shared" si="140"/>
        <v>-0.37338004336983804</v>
      </c>
      <c r="AA242" s="14">
        <f t="shared" si="141"/>
        <v>0.74193734472937733</v>
      </c>
      <c r="AB242" s="14">
        <v>18844</v>
      </c>
      <c r="AC242" s="17">
        <v>1375</v>
      </c>
      <c r="AD242" s="14">
        <f t="shared" si="134"/>
        <v>1.1449841367652324E-2</v>
      </c>
      <c r="AE242" s="14">
        <f t="shared" si="135"/>
        <v>-1.3229836496256391</v>
      </c>
      <c r="AF242" s="14">
        <f t="shared" si="142"/>
        <v>0</v>
      </c>
      <c r="AG242" s="14">
        <f t="shared" si="143"/>
        <v>0</v>
      </c>
      <c r="AH242" s="14">
        <f t="shared" si="144"/>
        <v>5.5297297030243815E-3</v>
      </c>
      <c r="AI242" s="14">
        <v>0</v>
      </c>
      <c r="AJ242" s="14">
        <v>0</v>
      </c>
      <c r="AK242" s="14">
        <v>0</v>
      </c>
      <c r="AL242" s="14">
        <v>0</v>
      </c>
    </row>
    <row r="243" spans="1:38" ht="17.25" customHeight="1" x14ac:dyDescent="0.2">
      <c r="A243" s="19" t="s">
        <v>1</v>
      </c>
      <c r="B243" s="19">
        <v>2015</v>
      </c>
      <c r="C243" s="14">
        <v>0</v>
      </c>
      <c r="D243" s="14">
        <v>1</v>
      </c>
      <c r="E243" s="14">
        <v>0</v>
      </c>
      <c r="F243" s="14">
        <v>1708</v>
      </c>
      <c r="G243" s="16">
        <f t="shared" si="136"/>
        <v>2.2002083528826417</v>
      </c>
      <c r="H243" s="14">
        <f t="shared" si="129"/>
        <v>7.4430783743485156</v>
      </c>
      <c r="I243" s="17">
        <v>122134</v>
      </c>
      <c r="J243" s="15">
        <v>434</v>
      </c>
      <c r="K243" s="14">
        <f t="shared" si="130"/>
        <v>0.35534740530892295</v>
      </c>
      <c r="L243" s="16">
        <f t="shared" si="137"/>
        <v>1.1429528644814868</v>
      </c>
      <c r="M243" s="14">
        <v>1.0174024043472965</v>
      </c>
      <c r="N243" s="16">
        <f t="shared" si="138"/>
        <v>-0.38706256531446542</v>
      </c>
      <c r="O243" s="14">
        <v>1.84</v>
      </c>
      <c r="P243" s="17">
        <v>-0.10999999999999988</v>
      </c>
      <c r="Q243" s="14">
        <v>18842</v>
      </c>
      <c r="R243" s="14">
        <f>[1]Feuil1!J277/panel_choc_taux_suisse_2014_202!Q243</f>
        <v>34820.198885910904</v>
      </c>
      <c r="S243" s="14">
        <v>18.8</v>
      </c>
      <c r="T243" s="17">
        <f t="shared" si="131"/>
        <v>-0.35864425838237685</v>
      </c>
      <c r="U243" s="17">
        <f t="shared" si="132"/>
        <v>-2.212940082633188</v>
      </c>
      <c r="V243" s="14">
        <v>135577.4903</v>
      </c>
      <c r="W243" s="16">
        <f t="shared" si="139"/>
        <v>2.6655805097088141</v>
      </c>
      <c r="X243" s="14">
        <f t="shared" si="133"/>
        <v>11.817298639971321</v>
      </c>
      <c r="Y243" s="14">
        <v>2.2000000000000002</v>
      </c>
      <c r="Z243" s="16">
        <f t="shared" si="140"/>
        <v>-0.28724090292959131</v>
      </c>
      <c r="AA243" s="14">
        <f t="shared" si="141"/>
        <v>0.78845736036427028</v>
      </c>
      <c r="AB243" s="14">
        <v>19445</v>
      </c>
      <c r="AC243" s="17">
        <v>840</v>
      </c>
      <c r="AD243" s="14">
        <f t="shared" si="134"/>
        <v>6.8776917156565739E-3</v>
      </c>
      <c r="AE243" s="14">
        <f t="shared" si="135"/>
        <v>-1.2857921705077824</v>
      </c>
      <c r="AF243" s="14">
        <f t="shared" si="142"/>
        <v>0.1414371387558559</v>
      </c>
      <c r="AG243" s="14">
        <f t="shared" si="143"/>
        <v>0.13228811648831765</v>
      </c>
      <c r="AH243" s="14">
        <f t="shared" si="144"/>
        <v>1.460017389905222</v>
      </c>
      <c r="AI243" s="14">
        <f t="shared" ref="AI243:AI251" si="161">LN(F243)-LN(F242)</f>
        <v>-1.4242356715542748E-2</v>
      </c>
      <c r="AJ243" s="14">
        <f t="shared" ref="AJ243:AJ251" si="162">K243-K242</f>
        <v>-3.3530843323341442E-2</v>
      </c>
      <c r="AK243" s="14">
        <f t="shared" ref="AK243:AK251" si="163">Y243-Y242</f>
        <v>0.10000000000000009</v>
      </c>
      <c r="AL243" s="14">
        <f t="shared" ref="AL243:AL251" si="164">LN(V243)-LN(V242)</f>
        <v>3.9920207974830646E-3</v>
      </c>
    </row>
    <row r="244" spans="1:38" ht="17.25" customHeight="1" x14ac:dyDescent="0.2">
      <c r="A244" s="19" t="s">
        <v>1</v>
      </c>
      <c r="B244" s="19">
        <v>2016</v>
      </c>
      <c r="C244" s="14">
        <v>0</v>
      </c>
      <c r="D244" s="14">
        <v>1</v>
      </c>
      <c r="E244" s="14">
        <v>0</v>
      </c>
      <c r="F244" s="14">
        <v>1698.17</v>
      </c>
      <c r="G244" s="16">
        <f t="shared" si="136"/>
        <v>2.1503796913971533</v>
      </c>
      <c r="H244" s="14">
        <f t="shared" si="129"/>
        <v>7.4373064796454722</v>
      </c>
      <c r="I244" s="17">
        <v>123948</v>
      </c>
      <c r="J244" s="15">
        <v>98</v>
      </c>
      <c r="K244" s="14">
        <f t="shared" si="130"/>
        <v>7.9065414528673314E-2</v>
      </c>
      <c r="L244" s="16">
        <f t="shared" si="137"/>
        <v>0.28814075596240141</v>
      </c>
      <c r="M244" s="14">
        <v>0.98347652295718835</v>
      </c>
      <c r="N244" s="16">
        <f t="shared" si="138"/>
        <v>-1.8033693953850858</v>
      </c>
      <c r="O244" s="14">
        <v>1.71</v>
      </c>
      <c r="P244" s="17">
        <v>-0.13000000000000012</v>
      </c>
      <c r="Q244" s="14">
        <v>19218</v>
      </c>
      <c r="R244" s="14">
        <f>[1]Feuil1!J278/panel_choc_taux_suisse_2014_202!Q244</f>
        <v>35153.662759739134</v>
      </c>
      <c r="S244" s="14">
        <v>18.5</v>
      </c>
      <c r="T244" s="17">
        <f t="shared" si="131"/>
        <v>-0.35303656313263609</v>
      </c>
      <c r="U244" s="17">
        <f t="shared" si="132"/>
        <v>-2.2432287971775464</v>
      </c>
      <c r="V244" s="14">
        <v>136526.53279999999</v>
      </c>
      <c r="W244" s="16">
        <f t="shared" si="139"/>
        <v>2.719425500666981</v>
      </c>
      <c r="X244" s="14">
        <f t="shared" si="133"/>
        <v>11.824274254205086</v>
      </c>
      <c r="Y244" s="14">
        <v>2.4</v>
      </c>
      <c r="Z244" s="16">
        <f t="shared" si="140"/>
        <v>-0.11496262204909814</v>
      </c>
      <c r="AA244" s="14">
        <f t="shared" si="141"/>
        <v>0.87546873735389985</v>
      </c>
      <c r="AB244" s="14">
        <v>19992</v>
      </c>
      <c r="AC244" s="17">
        <v>892</v>
      </c>
      <c r="AD244" s="14">
        <f t="shared" si="134"/>
        <v>7.1965663019976115E-3</v>
      </c>
      <c r="AE244" s="14">
        <f t="shared" si="135"/>
        <v>-1.2981326801550912</v>
      </c>
      <c r="AF244" s="14">
        <f t="shared" si="142"/>
        <v>0.16875724842016201</v>
      </c>
      <c r="AG244" s="14">
        <f t="shared" si="143"/>
        <v>0.15594100345835141</v>
      </c>
      <c r="AH244" s="14">
        <f t="shared" si="144"/>
        <v>1.7409673775226635</v>
      </c>
      <c r="AI244" s="14">
        <f t="shared" si="161"/>
        <v>-5.7718947030434009E-3</v>
      </c>
      <c r="AJ244" s="14">
        <f t="shared" si="162"/>
        <v>-0.27628199078024962</v>
      </c>
      <c r="AK244" s="14">
        <f t="shared" si="163"/>
        <v>0.19999999999999973</v>
      </c>
      <c r="AL244" s="14">
        <f t="shared" si="164"/>
        <v>6.9756142337649152E-3</v>
      </c>
    </row>
    <row r="245" spans="1:38" ht="17.25" customHeight="1" x14ac:dyDescent="0.2">
      <c r="A245" s="19" t="s">
        <v>1</v>
      </c>
      <c r="B245" s="19">
        <v>2017</v>
      </c>
      <c r="C245" s="14">
        <v>0</v>
      </c>
      <c r="D245" s="14">
        <v>1</v>
      </c>
      <c r="E245" s="14">
        <v>0</v>
      </c>
      <c r="F245" s="14">
        <v>1717.67</v>
      </c>
      <c r="G245" s="16">
        <f t="shared" si="136"/>
        <v>2.249225967996038</v>
      </c>
      <c r="H245" s="14">
        <f t="shared" si="129"/>
        <v>7.4487240002753481</v>
      </c>
      <c r="I245" s="17">
        <v>125421</v>
      </c>
      <c r="J245" s="15">
        <v>91</v>
      </c>
      <c r="K245" s="14">
        <f t="shared" si="130"/>
        <v>7.2555632629304506E-2</v>
      </c>
      <c r="L245" s="16">
        <f t="shared" si="137"/>
        <v>0.26799959375460164</v>
      </c>
      <c r="M245" s="14">
        <v>1.0635156673797794</v>
      </c>
      <c r="N245" s="16">
        <f t="shared" si="138"/>
        <v>1.5380319853253162</v>
      </c>
      <c r="O245" s="14">
        <v>1.56</v>
      </c>
      <c r="P245" s="17">
        <v>-0.14999999999999991</v>
      </c>
      <c r="Q245" s="14">
        <v>19654</v>
      </c>
      <c r="R245" s="14">
        <f>[1]Feuil1!J279/panel_choc_taux_suisse_2014_202!Q245</f>
        <v>35228.071093246494</v>
      </c>
      <c r="S245" s="14">
        <v>18.8</v>
      </c>
      <c r="T245" s="17">
        <f t="shared" si="131"/>
        <v>-0.35178527538874904</v>
      </c>
      <c r="U245" s="17">
        <f t="shared" si="132"/>
        <v>-2.212940082633188</v>
      </c>
      <c r="V245" s="14">
        <v>137072.63889999999</v>
      </c>
      <c r="W245" s="16">
        <f t="shared" si="139"/>
        <v>2.7504094429210957</v>
      </c>
      <c r="X245" s="14">
        <f t="shared" si="133"/>
        <v>11.828266275247007</v>
      </c>
      <c r="Y245" s="14">
        <v>2.2999999999999998</v>
      </c>
      <c r="Z245" s="16">
        <f t="shared" si="140"/>
        <v>-0.20110176248934492</v>
      </c>
      <c r="AA245" s="14">
        <f t="shared" si="141"/>
        <v>0.83290912293510388</v>
      </c>
      <c r="AB245" s="14">
        <v>20965</v>
      </c>
      <c r="AC245" s="17">
        <v>631</v>
      </c>
      <c r="AD245" s="14">
        <f t="shared" si="134"/>
        <v>5.0310554053946306E-3</v>
      </c>
      <c r="AE245" s="14">
        <f t="shared" si="135"/>
        <v>-1.2823626790109686</v>
      </c>
      <c r="AF245" s="14">
        <f t="shared" si="142"/>
        <v>0.19235440185164518</v>
      </c>
      <c r="AG245" s="14">
        <f t="shared" si="143"/>
        <v>0.17592984144285581</v>
      </c>
      <c r="AH245" s="14">
        <f t="shared" si="144"/>
        <v>1.9836318487068219</v>
      </c>
      <c r="AI245" s="14">
        <f t="shared" si="161"/>
        <v>1.1417520629875888E-2</v>
      </c>
      <c r="AJ245" s="14">
        <f t="shared" si="162"/>
        <v>-6.5097818993688078E-3</v>
      </c>
      <c r="AK245" s="14">
        <f t="shared" si="163"/>
        <v>-0.10000000000000009</v>
      </c>
      <c r="AL245" s="14">
        <f t="shared" si="164"/>
        <v>3.9920210419204238E-3</v>
      </c>
    </row>
    <row r="246" spans="1:38" ht="17.25" customHeight="1" x14ac:dyDescent="0.2">
      <c r="A246" s="19" t="s">
        <v>1</v>
      </c>
      <c r="B246" s="19">
        <v>2018</v>
      </c>
      <c r="C246" s="14">
        <v>0</v>
      </c>
      <c r="D246" s="14">
        <v>1</v>
      </c>
      <c r="E246" s="14">
        <v>0</v>
      </c>
      <c r="F246" s="14">
        <v>1728.33</v>
      </c>
      <c r="G246" s="16">
        <f t="shared" si="136"/>
        <v>2.3032619325367607</v>
      </c>
      <c r="H246" s="14">
        <f t="shared" si="129"/>
        <v>7.4549109033533494</v>
      </c>
      <c r="I246" s="17">
        <v>126837</v>
      </c>
      <c r="J246" s="15">
        <v>48</v>
      </c>
      <c r="K246" s="14">
        <f t="shared" si="130"/>
        <v>3.7843846827029966E-2</v>
      </c>
      <c r="L246" s="16">
        <f t="shared" si="137"/>
        <v>0.16060187764466585</v>
      </c>
      <c r="M246" s="14">
        <v>1.0301138707197743</v>
      </c>
      <c r="N246" s="16">
        <f t="shared" si="138"/>
        <v>0.14360416774800241</v>
      </c>
      <c r="O246" s="14">
        <v>1.5</v>
      </c>
      <c r="P246" s="17">
        <v>-6.0000000000000053E-2</v>
      </c>
      <c r="Q246" s="14">
        <v>17841</v>
      </c>
      <c r="R246" s="14">
        <f>[1]Feuil1!J280/panel_choc_taux_suisse_2014_202!Q246</f>
        <v>39843.009933112866</v>
      </c>
      <c r="S246" s="14">
        <v>18.100000000000001</v>
      </c>
      <c r="T246" s="17">
        <f t="shared" si="131"/>
        <v>-0.27417815617350993</v>
      </c>
      <c r="U246" s="17">
        <f t="shared" si="132"/>
        <v>-2.2836137499033571</v>
      </c>
      <c r="V246" s="14">
        <v>137758.00210000001</v>
      </c>
      <c r="W246" s="16">
        <f t="shared" si="139"/>
        <v>2.7892942929747679</v>
      </c>
      <c r="X246" s="14">
        <f t="shared" si="133"/>
        <v>11.833253816797971</v>
      </c>
      <c r="Y246" s="14">
        <v>2.1</v>
      </c>
      <c r="Z246" s="16">
        <f t="shared" si="140"/>
        <v>-0.37338004336983804</v>
      </c>
      <c r="AA246" s="14">
        <f t="shared" si="141"/>
        <v>0.74193734472937733</v>
      </c>
      <c r="AB246" s="14">
        <v>21511</v>
      </c>
      <c r="AC246" s="17">
        <v>762</v>
      </c>
      <c r="AD246" s="14">
        <f t="shared" si="134"/>
        <v>6.0077106837910076E-3</v>
      </c>
      <c r="AE246" s="14">
        <f t="shared" si="135"/>
        <v>-1.2788959530384334</v>
      </c>
      <c r="AF246" s="14">
        <f t="shared" si="142"/>
        <v>7.6733757182306073E-2</v>
      </c>
      <c r="AG246" s="14">
        <f t="shared" si="143"/>
        <v>7.3932159797490959E-2</v>
      </c>
      <c r="AH246" s="14">
        <f t="shared" si="144"/>
        <v>0.79463154499971611</v>
      </c>
      <c r="AI246" s="14">
        <f t="shared" si="161"/>
        <v>6.1869030780012935E-3</v>
      </c>
      <c r="AJ246" s="14">
        <f t="shared" si="162"/>
        <v>-3.471178580227454E-2</v>
      </c>
      <c r="AK246" s="14">
        <f t="shared" si="163"/>
        <v>-0.19999999999999973</v>
      </c>
      <c r="AL246" s="14">
        <f t="shared" si="164"/>
        <v>4.9875415509639254E-3</v>
      </c>
    </row>
    <row r="247" spans="1:38" ht="17.25" customHeight="1" x14ac:dyDescent="0.2">
      <c r="A247" s="19" t="s">
        <v>1</v>
      </c>
      <c r="B247" s="19">
        <v>2019</v>
      </c>
      <c r="C247" s="14">
        <v>0</v>
      </c>
      <c r="D247" s="14">
        <v>1</v>
      </c>
      <c r="E247" s="14">
        <v>0</v>
      </c>
      <c r="F247" s="14">
        <v>1722.17</v>
      </c>
      <c r="G247" s="16">
        <f t="shared" si="136"/>
        <v>2.2720366472111651</v>
      </c>
      <c r="H247" s="14">
        <f t="shared" si="129"/>
        <v>7.451340402530735</v>
      </c>
      <c r="I247" s="17">
        <v>127642</v>
      </c>
      <c r="J247" s="15">
        <v>-427</v>
      </c>
      <c r="K247" s="14">
        <f t="shared" si="130"/>
        <v>-0.33452938687892703</v>
      </c>
      <c r="L247" s="16">
        <f t="shared" si="137"/>
        <v>-0.99151501626260796</v>
      </c>
      <c r="M247" s="14">
        <v>1.036888899675622</v>
      </c>
      <c r="N247" s="16">
        <f t="shared" si="138"/>
        <v>0.42644191258817377</v>
      </c>
      <c r="O247" s="14">
        <v>1.43</v>
      </c>
      <c r="P247" s="17">
        <v>-7.0000000000000062E-2</v>
      </c>
      <c r="Q247" s="14">
        <v>18723</v>
      </c>
      <c r="R247" s="14">
        <f>[1]Feuil1!J281/panel_choc_taux_suisse_2014_202!Q247</f>
        <v>38998.384512809549</v>
      </c>
      <c r="S247" s="14">
        <v>18.100000000000001</v>
      </c>
      <c r="T247" s="17">
        <f t="shared" si="131"/>
        <v>-0.28838179959332155</v>
      </c>
      <c r="U247" s="17">
        <f t="shared" si="132"/>
        <v>-2.2836137499033571</v>
      </c>
      <c r="V247" s="14">
        <v>138998</v>
      </c>
      <c r="W247" s="16">
        <f t="shared" si="139"/>
        <v>2.8596469649716982</v>
      </c>
      <c r="X247" s="14">
        <f t="shared" si="133"/>
        <v>11.842214823520106</v>
      </c>
      <c r="Y247" s="14">
        <v>1.9</v>
      </c>
      <c r="Z247" s="16">
        <f t="shared" si="140"/>
        <v>-0.54565832425033156</v>
      </c>
      <c r="AA247" s="14">
        <f t="shared" si="141"/>
        <v>0.64185388617239469</v>
      </c>
      <c r="AB247" s="14">
        <v>22076</v>
      </c>
      <c r="AC247" s="17">
        <v>650</v>
      </c>
      <c r="AD247" s="14">
        <f t="shared" si="134"/>
        <v>5.0923677159555635E-3</v>
      </c>
      <c r="AE247" s="14">
        <f t="shared" si="135"/>
        <v>-1.2859977747483393</v>
      </c>
      <c r="AF247" s="14">
        <f t="shared" si="142"/>
        <v>9.0019844232383836E-2</v>
      </c>
      <c r="AG247" s="14">
        <f t="shared" si="143"/>
        <v>8.6195901793113608E-2</v>
      </c>
      <c r="AH247" s="14">
        <f t="shared" si="144"/>
        <v>0.93126079129737727</v>
      </c>
      <c r="AI247" s="14">
        <f t="shared" si="161"/>
        <v>-3.570500822614342E-3</v>
      </c>
      <c r="AJ247" s="14">
        <f t="shared" si="162"/>
        <v>-0.37237323370595699</v>
      </c>
      <c r="AK247" s="14">
        <f t="shared" si="163"/>
        <v>-0.20000000000000018</v>
      </c>
      <c r="AL247" s="14">
        <f t="shared" si="164"/>
        <v>8.9610067221350675E-3</v>
      </c>
    </row>
    <row r="248" spans="1:38" ht="17.25" customHeight="1" x14ac:dyDescent="0.2">
      <c r="A248" s="19" t="s">
        <v>1</v>
      </c>
      <c r="B248" s="19">
        <v>2020</v>
      </c>
      <c r="C248" s="14">
        <v>0</v>
      </c>
      <c r="D248" s="14">
        <v>1</v>
      </c>
      <c r="E248" s="14">
        <v>0</v>
      </c>
      <c r="F248" s="14">
        <v>1735.5</v>
      </c>
      <c r="G248" s="16">
        <f t="shared" si="136"/>
        <v>2.339606948086197</v>
      </c>
      <c r="H248" s="14">
        <f t="shared" si="129"/>
        <v>7.4590508353018405</v>
      </c>
      <c r="I248" s="17">
        <v>128794</v>
      </c>
      <c r="J248" s="15">
        <v>-165</v>
      </c>
      <c r="K248" s="14">
        <f t="shared" si="130"/>
        <v>-0.12811155799183191</v>
      </c>
      <c r="L248" s="16">
        <f t="shared" si="137"/>
        <v>-0.35286151934592375</v>
      </c>
      <c r="M248" s="14">
        <v>1.0413346451454319</v>
      </c>
      <c r="N248" s="16">
        <f t="shared" si="138"/>
        <v>0.61203884966534006</v>
      </c>
      <c r="O248" s="14">
        <v>1.33</v>
      </c>
      <c r="P248" s="17">
        <v>-9.9999999999999867E-2</v>
      </c>
      <c r="Q248" s="14">
        <v>18246</v>
      </c>
      <c r="R248" s="14">
        <f>[1]Feuil1!J282/panel_choc_taux_suisse_2014_202!Q248</f>
        <v>41072.934737750744</v>
      </c>
      <c r="S248" s="14">
        <v>18</v>
      </c>
      <c r="T248" s="17">
        <f t="shared" si="131"/>
        <v>-0.25349512563911714</v>
      </c>
      <c r="U248" s="17">
        <f t="shared" si="132"/>
        <v>-2.2937099880848102</v>
      </c>
      <c r="V248" s="14">
        <v>140109.80669999999</v>
      </c>
      <c r="W248" s="16">
        <f t="shared" si="139"/>
        <v>2.922726565420287</v>
      </c>
      <c r="X248" s="14">
        <f t="shared" si="133"/>
        <v>11.850181727734034</v>
      </c>
      <c r="Y248" s="14">
        <v>2.5</v>
      </c>
      <c r="Z248" s="16">
        <f t="shared" si="140"/>
        <v>-2.882348160885137E-2</v>
      </c>
      <c r="AA248" s="14">
        <f t="shared" si="141"/>
        <v>0.91629073187415511</v>
      </c>
      <c r="AB248" s="14">
        <v>22570</v>
      </c>
      <c r="AC248" s="17">
        <v>493</v>
      </c>
      <c r="AD248" s="14">
        <f t="shared" si="134"/>
        <v>3.8278180660589779E-3</v>
      </c>
      <c r="AE248" s="14">
        <f t="shared" si="135"/>
        <v>-1.2736025568619636</v>
      </c>
      <c r="AF248" s="14">
        <f t="shared" si="142"/>
        <v>0.12736025568619619</v>
      </c>
      <c r="AG248" s="14">
        <f t="shared" si="143"/>
        <v>0.11987884297155106</v>
      </c>
      <c r="AH248" s="14">
        <f t="shared" si="144"/>
        <v>1.3152558873816738</v>
      </c>
      <c r="AI248" s="14">
        <f t="shared" si="161"/>
        <v>7.7104327711055021E-3</v>
      </c>
      <c r="AJ248" s="14">
        <f t="shared" si="162"/>
        <v>0.20641782888709512</v>
      </c>
      <c r="AK248" s="14">
        <f t="shared" si="163"/>
        <v>0.60000000000000009</v>
      </c>
      <c r="AL248" s="14">
        <f t="shared" si="164"/>
        <v>7.9669042139283164E-3</v>
      </c>
    </row>
    <row r="249" spans="1:38" ht="17.25" customHeight="1" x14ac:dyDescent="0.2">
      <c r="A249" s="19" t="s">
        <v>1</v>
      </c>
      <c r="B249" s="19">
        <v>2021</v>
      </c>
      <c r="C249" s="14">
        <v>0</v>
      </c>
      <c r="D249" s="14">
        <v>1</v>
      </c>
      <c r="E249" s="14">
        <v>0</v>
      </c>
      <c r="F249" s="14">
        <v>1734</v>
      </c>
      <c r="G249" s="16">
        <f t="shared" si="136"/>
        <v>2.3320033883478213</v>
      </c>
      <c r="H249" s="14">
        <f t="shared" si="129"/>
        <v>7.4581861573404868</v>
      </c>
      <c r="I249" s="17">
        <v>129787</v>
      </c>
      <c r="J249" s="15">
        <v>-376</v>
      </c>
      <c r="K249" s="14">
        <f t="shared" si="130"/>
        <v>-0.28970544045243357</v>
      </c>
      <c r="L249" s="16">
        <f t="shared" si="137"/>
        <v>-0.85283043516208523</v>
      </c>
      <c r="M249" s="14">
        <v>1.0457435779736526</v>
      </c>
      <c r="N249" s="16">
        <f t="shared" si="138"/>
        <v>0.79609896607405228</v>
      </c>
      <c r="O249" s="14">
        <v>1.25</v>
      </c>
      <c r="P249" s="17">
        <v>-8.0000000000000071E-2</v>
      </c>
      <c r="Q249" s="14">
        <v>19247</v>
      </c>
      <c r="R249" s="14">
        <f>[1]Feuil1!J283/panel_choc_taux_suisse_2014_202!Q249</f>
        <v>40169.885491245383</v>
      </c>
      <c r="S249" s="14">
        <v>18.7</v>
      </c>
      <c r="T249" s="17">
        <f t="shared" si="131"/>
        <v>-0.2686812533349725</v>
      </c>
      <c r="U249" s="17">
        <f t="shared" si="132"/>
        <v>-2.2230363208146411</v>
      </c>
      <c r="V249" s="14">
        <v>139829.5871</v>
      </c>
      <c r="W249" s="16">
        <f t="shared" si="139"/>
        <v>2.9068279920389046</v>
      </c>
      <c r="X249" s="14">
        <f t="shared" si="133"/>
        <v>11.848179725159193</v>
      </c>
      <c r="Y249" s="14">
        <v>2.5</v>
      </c>
      <c r="Z249" s="16">
        <f t="shared" si="140"/>
        <v>-2.882348160885137E-2</v>
      </c>
      <c r="AA249" s="14">
        <f t="shared" si="141"/>
        <v>0.91629073187415511</v>
      </c>
      <c r="AB249" s="14">
        <v>22947</v>
      </c>
      <c r="AC249" s="17">
        <v>585</v>
      </c>
      <c r="AD249" s="14">
        <f t="shared" si="134"/>
        <v>4.5073851772519588E-3</v>
      </c>
      <c r="AE249" s="14">
        <f t="shared" si="135"/>
        <v>-1.2458587870748068</v>
      </c>
      <c r="AF249" s="14">
        <f t="shared" si="142"/>
        <v>9.9668702965984637E-2</v>
      </c>
      <c r="AG249" s="14">
        <f t="shared" si="143"/>
        <v>9.5008955318952384E-2</v>
      </c>
      <c r="AH249" s="14">
        <f t="shared" si="144"/>
        <v>1.0304861156111125</v>
      </c>
      <c r="AI249" s="14">
        <f t="shared" si="161"/>
        <v>-8.6467796135369923E-4</v>
      </c>
      <c r="AJ249" s="14">
        <f t="shared" si="162"/>
        <v>-0.16159388246060166</v>
      </c>
      <c r="AK249" s="14">
        <f t="shared" si="163"/>
        <v>0</v>
      </c>
      <c r="AL249" s="14">
        <f t="shared" si="164"/>
        <v>-2.0020025748408443E-3</v>
      </c>
    </row>
    <row r="250" spans="1:38" ht="17.25" customHeight="1" x14ac:dyDescent="0.2">
      <c r="A250" s="19" t="s">
        <v>1</v>
      </c>
      <c r="B250" s="19">
        <v>2022</v>
      </c>
      <c r="C250" s="14">
        <v>0</v>
      </c>
      <c r="D250" s="14">
        <v>1</v>
      </c>
      <c r="E250" s="14">
        <v>0</v>
      </c>
      <c r="F250" s="14">
        <v>1773.67</v>
      </c>
      <c r="G250" s="16">
        <f t="shared" si="136"/>
        <v>2.533092198228732</v>
      </c>
      <c r="H250" s="14">
        <f t="shared" si="129"/>
        <v>7.4808061252724816</v>
      </c>
      <c r="I250" s="17">
        <v>131164</v>
      </c>
      <c r="J250" s="15">
        <v>-290</v>
      </c>
      <c r="K250" s="14">
        <f t="shared" si="130"/>
        <v>-0.22109725229483698</v>
      </c>
      <c r="L250" s="16">
        <f t="shared" si="137"/>
        <v>-0.64055778642720529</v>
      </c>
      <c r="M250" s="14">
        <v>0.98600652141555722</v>
      </c>
      <c r="N250" s="16">
        <f t="shared" si="138"/>
        <v>-1.6977493215702677</v>
      </c>
      <c r="O250" s="14">
        <v>1.21</v>
      </c>
      <c r="P250" s="17">
        <v>-4.0000000000000036E-2</v>
      </c>
      <c r="Q250" s="14">
        <v>18763</v>
      </c>
      <c r="R250" s="14">
        <f>[1]Feuil1!J284/panel_choc_taux_suisse_2014_202!Q250</f>
        <v>42430.981051359944</v>
      </c>
      <c r="S250" s="14">
        <v>18.899999999999999</v>
      </c>
      <c r="T250" s="17">
        <f t="shared" si="131"/>
        <v>-0.23065753974314956</v>
      </c>
      <c r="U250" s="17">
        <f t="shared" si="132"/>
        <v>-2.2028438444517358</v>
      </c>
      <c r="V250" s="14">
        <v>141088.0534</v>
      </c>
      <c r="W250" s="16">
        <f t="shared" si="139"/>
        <v>2.9782284894293367</v>
      </c>
      <c r="X250" s="14">
        <f t="shared" si="133"/>
        <v>11.857139466644778</v>
      </c>
      <c r="Y250" s="14">
        <v>1.7</v>
      </c>
      <c r="Z250" s="16">
        <f t="shared" si="140"/>
        <v>-0.71793660513082491</v>
      </c>
      <c r="AA250" s="14">
        <f t="shared" si="141"/>
        <v>0.53062825106217038</v>
      </c>
      <c r="AB250" s="14">
        <v>23520</v>
      </c>
      <c r="AC250" s="17">
        <v>864</v>
      </c>
      <c r="AD250" s="14">
        <f t="shared" si="134"/>
        <v>6.5871733097496261E-3</v>
      </c>
      <c r="AE250" s="14">
        <f t="shared" si="135"/>
        <v>-1.2167506920974427</v>
      </c>
      <c r="AF250" s="14">
        <f t="shared" si="142"/>
        <v>4.8670027683897749E-2</v>
      </c>
      <c r="AG250" s="14">
        <f t="shared" si="143"/>
        <v>4.7522721001522238E-2</v>
      </c>
      <c r="AH250" s="14">
        <f t="shared" si="144"/>
        <v>0.50603444374509721</v>
      </c>
      <c r="AI250" s="14">
        <f t="shared" si="161"/>
        <v>2.2619967931994722E-2</v>
      </c>
      <c r="AJ250" s="14">
        <f t="shared" si="162"/>
        <v>6.8608188157596589E-2</v>
      </c>
      <c r="AK250" s="14">
        <f t="shared" si="163"/>
        <v>-0.8</v>
      </c>
      <c r="AL250" s="14">
        <f t="shared" si="164"/>
        <v>8.9597414855848712E-3</v>
      </c>
    </row>
    <row r="251" spans="1:38" ht="17.25" customHeight="1" x14ac:dyDescent="0.2">
      <c r="A251" s="19" t="s">
        <v>1</v>
      </c>
      <c r="B251" s="19">
        <v>2023</v>
      </c>
      <c r="C251" s="14">
        <v>0</v>
      </c>
      <c r="D251" s="14">
        <v>1</v>
      </c>
      <c r="E251" s="14">
        <v>0</v>
      </c>
      <c r="F251" s="14">
        <v>2053.29</v>
      </c>
      <c r="G251" s="16">
        <f t="shared" si="136"/>
        <v>3.9504971142584817</v>
      </c>
      <c r="H251" s="14">
        <f t="shared" si="129"/>
        <v>7.6271986637406615</v>
      </c>
      <c r="I251" s="17">
        <v>132556</v>
      </c>
      <c r="J251" s="15">
        <v>-505</v>
      </c>
      <c r="K251" s="14">
        <f t="shared" si="130"/>
        <v>-0.38097106128730501</v>
      </c>
      <c r="L251" s="16">
        <f t="shared" si="137"/>
        <v>-1.1352048221456064</v>
      </c>
      <c r="M251" s="14">
        <v>1.0341430614279774</v>
      </c>
      <c r="N251" s="16">
        <f t="shared" si="138"/>
        <v>0.31181115562449047</v>
      </c>
      <c r="O251" s="14">
        <v>1.48</v>
      </c>
      <c r="P251" s="17">
        <v>0.27</v>
      </c>
      <c r="Q251" s="14">
        <v>18808</v>
      </c>
      <c r="R251" s="14">
        <f>[1]Feuil1!J285/panel_choc_taux_suisse_2014_202!Q251</f>
        <v>43230.983708616899</v>
      </c>
      <c r="S251" s="14">
        <v>18.399999999999999</v>
      </c>
      <c r="T251" s="17">
        <f t="shared" si="131"/>
        <v>-0.21720429502018238</v>
      </c>
      <c r="U251" s="17">
        <f t="shared" si="132"/>
        <v>-2.2533250353589995</v>
      </c>
      <c r="V251" s="14">
        <v>165073.02249999999</v>
      </c>
      <c r="W251" s="16">
        <f t="shared" si="139"/>
        <v>4.3390426197990921</v>
      </c>
      <c r="X251" s="14">
        <f t="shared" si="133"/>
        <v>12.014143215587717</v>
      </c>
      <c r="Y251" s="14">
        <v>1.7</v>
      </c>
      <c r="Z251" s="16">
        <f t="shared" si="140"/>
        <v>-0.71793660513082491</v>
      </c>
      <c r="AA251" s="14">
        <f t="shared" si="141"/>
        <v>0.53062825106217038</v>
      </c>
      <c r="AB251" s="14">
        <v>24098</v>
      </c>
      <c r="AC251" s="17">
        <v>442</v>
      </c>
      <c r="AD251" s="14">
        <f t="shared" si="134"/>
        <v>3.3344397839403725E-3</v>
      </c>
      <c r="AE251" s="14">
        <f t="shared" si="135"/>
        <v>-1.2352646651895909</v>
      </c>
      <c r="AF251" s="14">
        <f t="shared" si="142"/>
        <v>-0.33352145960118956</v>
      </c>
      <c r="AG251" s="14">
        <f t="shared" si="143"/>
        <v>-0.40574733733286977</v>
      </c>
      <c r="AH251" s="14">
        <f t="shared" si="144"/>
        <v>-3.424282635491414</v>
      </c>
      <c r="AI251" s="14">
        <f t="shared" si="161"/>
        <v>0.1463925384681799</v>
      </c>
      <c r="AJ251" s="14">
        <f t="shared" si="162"/>
        <v>-0.15987380899246803</v>
      </c>
      <c r="AK251" s="14">
        <f t="shared" si="163"/>
        <v>0</v>
      </c>
      <c r="AL251" s="14">
        <f t="shared" si="164"/>
        <v>0.15700374894293923</v>
      </c>
    </row>
    <row r="252" spans="1:38" ht="17.25" customHeight="1" x14ac:dyDescent="0.2">
      <c r="A252" s="19" t="s">
        <v>0</v>
      </c>
      <c r="B252" s="19">
        <v>2014</v>
      </c>
      <c r="C252" s="14">
        <v>0</v>
      </c>
      <c r="D252" s="14">
        <v>1</v>
      </c>
      <c r="E252" s="14">
        <v>0</v>
      </c>
      <c r="F252" s="14">
        <v>1526.17</v>
      </c>
      <c r="G252" s="16">
        <f t="shared" si="136"/>
        <v>1.2785048413967348</v>
      </c>
      <c r="H252" s="14">
        <f t="shared" si="129"/>
        <v>7.330516607998729</v>
      </c>
      <c r="I252" s="17">
        <v>1446354</v>
      </c>
      <c r="J252" s="15">
        <v>675</v>
      </c>
      <c r="K252" s="14">
        <f t="shared" si="130"/>
        <v>4.6669072716637831E-2</v>
      </c>
      <c r="L252" s="16">
        <f t="shared" si="137"/>
        <v>0.18790698692648375</v>
      </c>
      <c r="M252" s="14">
        <v>1.0281149308624065</v>
      </c>
      <c r="N252" s="16">
        <f t="shared" si="138"/>
        <v>6.0154245243822686E-2</v>
      </c>
      <c r="O252" s="14">
        <v>1.95</v>
      </c>
      <c r="P252" s="17">
        <v>0</v>
      </c>
      <c r="Q252" s="14">
        <v>14326</v>
      </c>
      <c r="R252" s="14">
        <f>[1]Feuil1!J286/panel_choc_taux_suisse_2014_202!Q252</f>
        <v>44311.903764716837</v>
      </c>
      <c r="S252" s="14">
        <v>54.2</v>
      </c>
      <c r="T252" s="17">
        <f t="shared" si="131"/>
        <v>-0.19902700284650757</v>
      </c>
      <c r="U252" s="17">
        <f t="shared" si="132"/>
        <v>1.3611282336010841</v>
      </c>
      <c r="V252" s="14">
        <v>94722.27377</v>
      </c>
      <c r="W252" s="16">
        <f t="shared" si="139"/>
        <v>0.34761396484718154</v>
      </c>
      <c r="X252" s="14">
        <f t="shared" si="133"/>
        <v>11.458704455002854</v>
      </c>
      <c r="Y252" s="14">
        <v>3.2</v>
      </c>
      <c r="Z252" s="16">
        <f t="shared" si="140"/>
        <v>0.57415050147287561</v>
      </c>
      <c r="AA252" s="14">
        <f t="shared" si="141"/>
        <v>1.1631508098056809</v>
      </c>
      <c r="AB252" s="14">
        <v>238835</v>
      </c>
      <c r="AC252" s="17">
        <v>8371</v>
      </c>
      <c r="AD252" s="14">
        <f t="shared" si="134"/>
        <v>5.7876564105329674E-3</v>
      </c>
      <c r="AE252" s="14">
        <f t="shared" si="135"/>
        <v>0.5810506153772883</v>
      </c>
      <c r="AF252" s="14">
        <f t="shared" si="142"/>
        <v>0</v>
      </c>
      <c r="AG252" s="14">
        <f t="shared" si="143"/>
        <v>0</v>
      </c>
      <c r="AH252" s="14">
        <f t="shared" si="144"/>
        <v>5.5297297030243815E-3</v>
      </c>
      <c r="AI252" s="14">
        <v>0</v>
      </c>
      <c r="AJ252" s="14">
        <v>0</v>
      </c>
      <c r="AK252" s="14">
        <v>0</v>
      </c>
      <c r="AL252" s="14">
        <v>0</v>
      </c>
    </row>
    <row r="253" spans="1:38" ht="17.25" customHeight="1" x14ac:dyDescent="0.2">
      <c r="A253" s="19" t="s">
        <v>0</v>
      </c>
      <c r="B253" s="19">
        <v>2015</v>
      </c>
      <c r="C253" s="14">
        <v>0</v>
      </c>
      <c r="D253" s="14">
        <v>1</v>
      </c>
      <c r="E253" s="14">
        <v>0</v>
      </c>
      <c r="F253" s="14">
        <v>1495.67</v>
      </c>
      <c r="G253" s="16">
        <f t="shared" si="136"/>
        <v>1.1238991267164282</v>
      </c>
      <c r="H253" s="14">
        <f t="shared" si="129"/>
        <v>7.3103295459659652</v>
      </c>
      <c r="I253" s="17">
        <v>1466424</v>
      </c>
      <c r="J253" s="15">
        <v>1590</v>
      </c>
      <c r="K253" s="14">
        <f t="shared" si="130"/>
        <v>0.10842703065416279</v>
      </c>
      <c r="L253" s="16">
        <f t="shared" si="137"/>
        <v>0.37898513173541626</v>
      </c>
      <c r="M253" s="14">
        <v>1.0174024043472965</v>
      </c>
      <c r="N253" s="16">
        <f t="shared" si="138"/>
        <v>-0.38706256531446542</v>
      </c>
      <c r="O253" s="14">
        <v>1.84</v>
      </c>
      <c r="P253" s="17">
        <v>-0.10999999999999988</v>
      </c>
      <c r="Q253" s="14">
        <v>15137</v>
      </c>
      <c r="R253" s="14">
        <f>[1]Feuil1!J287/panel_choc_taux_suisse_2014_202!Q253</f>
        <v>43342.946912091778</v>
      </c>
      <c r="S253" s="14">
        <v>57.7</v>
      </c>
      <c r="T253" s="17">
        <f t="shared" si="131"/>
        <v>-0.21532146580374001</v>
      </c>
      <c r="U253" s="17">
        <f t="shared" si="132"/>
        <v>1.7144965699519301</v>
      </c>
      <c r="V253" s="14">
        <v>95101.162859999997</v>
      </c>
      <c r="W253" s="16">
        <f t="shared" si="139"/>
        <v>0.3691106624399641</v>
      </c>
      <c r="X253" s="14">
        <f t="shared" si="133"/>
        <v>11.462696476218975</v>
      </c>
      <c r="Y253" s="14">
        <v>3.4</v>
      </c>
      <c r="Z253" s="16">
        <f t="shared" si="140"/>
        <v>0.74642878235336874</v>
      </c>
      <c r="AA253" s="14">
        <f t="shared" si="141"/>
        <v>1.2237754316221157</v>
      </c>
      <c r="AB253" s="14">
        <v>243341</v>
      </c>
      <c r="AC253" s="17">
        <v>9928</v>
      </c>
      <c r="AD253" s="14">
        <f t="shared" si="134"/>
        <v>6.7702110712863405E-3</v>
      </c>
      <c r="AE253" s="14">
        <f t="shared" si="135"/>
        <v>0.74958755207409511</v>
      </c>
      <c r="AF253" s="14">
        <f t="shared" si="142"/>
        <v>-8.2454630728150374E-2</v>
      </c>
      <c r="AG253" s="14">
        <f t="shared" si="143"/>
        <v>-8.6053251478306975E-2</v>
      </c>
      <c r="AH253" s="14">
        <f t="shared" si="144"/>
        <v>-0.84240345089985502</v>
      </c>
      <c r="AI253" s="14">
        <f t="shared" ref="AI253:AI261" si="165">LN(F253)-LN(F252)</f>
        <v>-2.018706203276377E-2</v>
      </c>
      <c r="AJ253" s="14">
        <f t="shared" ref="AJ253:AJ261" si="166">K253-K252</f>
        <v>6.1757957937524956E-2</v>
      </c>
      <c r="AK253" s="14">
        <f t="shared" ref="AK253:AK261" si="167">Y253-Y252</f>
        <v>0.19999999999999973</v>
      </c>
      <c r="AL253" s="14">
        <f t="shared" ref="AL253:AL261" si="168">LN(V253)-LN(V252)</f>
        <v>3.9920212161206337E-3</v>
      </c>
    </row>
    <row r="254" spans="1:38" ht="17.25" customHeight="1" x14ac:dyDescent="0.2">
      <c r="A254" s="19" t="s">
        <v>0</v>
      </c>
      <c r="B254" s="19">
        <v>2016</v>
      </c>
      <c r="C254" s="14">
        <v>0</v>
      </c>
      <c r="D254" s="14">
        <v>1</v>
      </c>
      <c r="E254" s="14">
        <v>0</v>
      </c>
      <c r="F254" s="14">
        <v>1533.33</v>
      </c>
      <c r="G254" s="16">
        <f t="shared" si="136"/>
        <v>1.3147991665479144</v>
      </c>
      <c r="H254" s="14">
        <f t="shared" si="129"/>
        <v>7.3351971198936701</v>
      </c>
      <c r="I254" s="17">
        <v>1487969</v>
      </c>
      <c r="J254" s="15">
        <v>2114</v>
      </c>
      <c r="K254" s="14">
        <f t="shared" si="130"/>
        <v>0.14207285232420835</v>
      </c>
      <c r="L254" s="16">
        <f t="shared" si="137"/>
        <v>0.48308477168445918</v>
      </c>
      <c r="M254" s="14">
        <v>0.98347652295718835</v>
      </c>
      <c r="N254" s="16">
        <f t="shared" si="138"/>
        <v>-1.8033693953850858</v>
      </c>
      <c r="O254" s="14">
        <v>1.71</v>
      </c>
      <c r="P254" s="17">
        <v>-0.13000000000000012</v>
      </c>
      <c r="Q254" s="14">
        <v>14366</v>
      </c>
      <c r="R254" s="14">
        <f>[1]Feuil1!J288/panel_choc_taux_suisse_2014_202!Q254</f>
        <v>47026.527280848299</v>
      </c>
      <c r="S254" s="14">
        <v>55</v>
      </c>
      <c r="T254" s="17">
        <f t="shared" si="131"/>
        <v>-0.15337653636123424</v>
      </c>
      <c r="U254" s="17">
        <f t="shared" si="132"/>
        <v>1.4418981390527057</v>
      </c>
      <c r="V254" s="14">
        <v>95766.870999999999</v>
      </c>
      <c r="W254" s="16">
        <f t="shared" si="139"/>
        <v>0.40688036061373289</v>
      </c>
      <c r="X254" s="14">
        <f t="shared" si="133"/>
        <v>11.469672089955193</v>
      </c>
      <c r="Y254" s="14">
        <v>3.7</v>
      </c>
      <c r="Z254" s="16">
        <f t="shared" si="140"/>
        <v>1.004846203674109</v>
      </c>
      <c r="AA254" s="14">
        <f t="shared" si="141"/>
        <v>1.3083328196501789</v>
      </c>
      <c r="AB254" s="14">
        <v>247586</v>
      </c>
      <c r="AC254" s="17">
        <v>9998</v>
      </c>
      <c r="AD254" s="14">
        <f t="shared" si="134"/>
        <v>6.7192260053804886E-3</v>
      </c>
      <c r="AE254" s="14">
        <f t="shared" si="135"/>
        <v>0.64426080134573571</v>
      </c>
      <c r="AF254" s="14">
        <f t="shared" si="142"/>
        <v>-8.3753904174945715E-2</v>
      </c>
      <c r="AG254" s="14">
        <f t="shared" si="143"/>
        <v>-8.747028682712979E-2</v>
      </c>
      <c r="AH254" s="14">
        <f t="shared" si="144"/>
        <v>-0.85576470249342884</v>
      </c>
      <c r="AI254" s="14">
        <f t="shared" si="165"/>
        <v>2.4867573927704889E-2</v>
      </c>
      <c r="AJ254" s="14">
        <f t="shared" si="166"/>
        <v>3.3645821670045567E-2</v>
      </c>
      <c r="AK254" s="14">
        <f t="shared" si="167"/>
        <v>0.30000000000000027</v>
      </c>
      <c r="AL254" s="14">
        <f t="shared" si="168"/>
        <v>6.9756137362180226E-3</v>
      </c>
    </row>
    <row r="255" spans="1:38" ht="17.25" customHeight="1" x14ac:dyDescent="0.2">
      <c r="A255" s="19" t="s">
        <v>0</v>
      </c>
      <c r="B255" s="19">
        <v>2017</v>
      </c>
      <c r="C255" s="14">
        <v>0</v>
      </c>
      <c r="D255" s="14">
        <v>1</v>
      </c>
      <c r="E255" s="14">
        <v>0</v>
      </c>
      <c r="F255" s="14">
        <v>1526</v>
      </c>
      <c r="G255" s="16">
        <f t="shared" si="136"/>
        <v>1.2776431046263852</v>
      </c>
      <c r="H255" s="14">
        <f t="shared" si="129"/>
        <v>7.3304052118444023</v>
      </c>
      <c r="I255" s="17">
        <v>1504346</v>
      </c>
      <c r="J255" s="15">
        <v>1567</v>
      </c>
      <c r="K255" s="14">
        <f t="shared" si="130"/>
        <v>0.10416486632729438</v>
      </c>
      <c r="L255" s="16">
        <f t="shared" si="137"/>
        <v>0.36579806273820797</v>
      </c>
      <c r="M255" s="14">
        <v>1.0635156673797794</v>
      </c>
      <c r="N255" s="16">
        <f t="shared" si="138"/>
        <v>1.5380319853253162</v>
      </c>
      <c r="O255" s="14">
        <v>1.56</v>
      </c>
      <c r="P255" s="17">
        <v>-0.14999999999999991</v>
      </c>
      <c r="Q255" s="14">
        <v>14125</v>
      </c>
      <c r="R255" s="14">
        <f>[1]Feuil1!J289/panel_choc_taux_suisse_2014_202!Q255</f>
        <v>49017.522779940991</v>
      </c>
      <c r="S255" s="14">
        <v>52.8</v>
      </c>
      <c r="T255" s="17">
        <f t="shared" si="131"/>
        <v>-0.11989496045814704</v>
      </c>
      <c r="U255" s="17">
        <f t="shared" si="132"/>
        <v>1.219780899060745</v>
      </c>
      <c r="V255" s="14">
        <v>96149.93849</v>
      </c>
      <c r="W255" s="16">
        <f t="shared" si="139"/>
        <v>0.42861412441821811</v>
      </c>
      <c r="X255" s="14">
        <f t="shared" si="133"/>
        <v>11.473664111287132</v>
      </c>
      <c r="Y255" s="14">
        <v>3.4</v>
      </c>
      <c r="Z255" s="16">
        <f t="shared" si="140"/>
        <v>0.74642878235336874</v>
      </c>
      <c r="AA255" s="14">
        <f t="shared" si="141"/>
        <v>1.2237754316221157</v>
      </c>
      <c r="AB255" s="14">
        <v>255371</v>
      </c>
      <c r="AC255" s="17">
        <v>8089</v>
      </c>
      <c r="AD255" s="14">
        <f t="shared" si="134"/>
        <v>5.3770874519558668E-3</v>
      </c>
      <c r="AE255" s="14">
        <f t="shared" si="135"/>
        <v>0.54994296930129904</v>
      </c>
      <c r="AF255" s="14">
        <f t="shared" si="142"/>
        <v>-8.2491445395194804E-2</v>
      </c>
      <c r="AG255" s="14">
        <f t="shared" si="143"/>
        <v>-8.6093375276927106E-2</v>
      </c>
      <c r="AH255" s="14">
        <f t="shared" si="144"/>
        <v>-0.84278203943326002</v>
      </c>
      <c r="AI255" s="14">
        <f t="shared" si="165"/>
        <v>-4.7919080492677679E-3</v>
      </c>
      <c r="AJ255" s="14">
        <f t="shared" si="166"/>
        <v>-3.7907985996913973E-2</v>
      </c>
      <c r="AK255" s="14">
        <f t="shared" si="167"/>
        <v>-0.30000000000000027</v>
      </c>
      <c r="AL255" s="14">
        <f t="shared" si="168"/>
        <v>3.9920213319390996E-3</v>
      </c>
    </row>
    <row r="256" spans="1:38" ht="17.25" customHeight="1" x14ac:dyDescent="0.2">
      <c r="A256" s="19" t="s">
        <v>0</v>
      </c>
      <c r="B256" s="19">
        <v>2018</v>
      </c>
      <c r="C256" s="14">
        <v>0</v>
      </c>
      <c r="D256" s="14">
        <v>1</v>
      </c>
      <c r="E256" s="14">
        <v>0</v>
      </c>
      <c r="F256" s="14">
        <v>1574.83</v>
      </c>
      <c r="G256" s="16">
        <f t="shared" si="136"/>
        <v>1.5251643193096431</v>
      </c>
      <c r="H256" s="14">
        <f t="shared" si="129"/>
        <v>7.3619026089262327</v>
      </c>
      <c r="I256" s="17">
        <v>1520968</v>
      </c>
      <c r="J256" s="15">
        <v>1808</v>
      </c>
      <c r="K256" s="14">
        <f t="shared" si="130"/>
        <v>0.11887166593905986</v>
      </c>
      <c r="L256" s="16">
        <f t="shared" si="137"/>
        <v>0.41130066806618298</v>
      </c>
      <c r="M256" s="14">
        <v>1.0301138707197743</v>
      </c>
      <c r="N256" s="16">
        <f t="shared" si="138"/>
        <v>0.14360416774800241</v>
      </c>
      <c r="O256" s="14">
        <v>1.5</v>
      </c>
      <c r="P256" s="17">
        <v>-6.0000000000000053E-2</v>
      </c>
      <c r="Q256" s="14">
        <v>14015</v>
      </c>
      <c r="R256" s="14">
        <f>[1]Feuil1!J290/panel_choc_taux_suisse_2014_202!Q256</f>
        <v>50719.881570935904</v>
      </c>
      <c r="S256" s="14">
        <v>50.5</v>
      </c>
      <c r="T256" s="17">
        <f t="shared" si="131"/>
        <v>-9.1267243770209741E-2</v>
      </c>
      <c r="U256" s="17">
        <f t="shared" si="132"/>
        <v>0.98756742088733229</v>
      </c>
      <c r="V256" s="14">
        <v>96630.688179999997</v>
      </c>
      <c r="W256" s="16">
        <f t="shared" si="139"/>
        <v>0.45588999742832242</v>
      </c>
      <c r="X256" s="14">
        <f t="shared" si="133"/>
        <v>11.478651652772816</v>
      </c>
      <c r="Y256" s="14">
        <v>2.5</v>
      </c>
      <c r="Z256" s="16">
        <f t="shared" si="140"/>
        <v>-2.882348160885137E-2</v>
      </c>
      <c r="AA256" s="14">
        <f t="shared" si="141"/>
        <v>0.91629073187415511</v>
      </c>
      <c r="AB256" s="14">
        <v>258731</v>
      </c>
      <c r="AC256" s="17">
        <v>9783</v>
      </c>
      <c r="AD256" s="14">
        <f t="shared" si="134"/>
        <v>6.4320879860720282E-3</v>
      </c>
      <c r="AE256" s="14">
        <f t="shared" si="135"/>
        <v>0.44815008855856125</v>
      </c>
      <c r="AF256" s="14">
        <f t="shared" si="142"/>
        <v>-2.6889005313513698E-2</v>
      </c>
      <c r="AG256" s="14">
        <f t="shared" si="143"/>
        <v>-2.7257128598675913E-2</v>
      </c>
      <c r="AH256" s="14">
        <f t="shared" si="144"/>
        <v>-0.27098693888659492</v>
      </c>
      <c r="AI256" s="14">
        <f t="shared" si="165"/>
        <v>3.1497397081830414E-2</v>
      </c>
      <c r="AJ256" s="14">
        <f t="shared" si="166"/>
        <v>1.4706799611765478E-2</v>
      </c>
      <c r="AK256" s="14">
        <f t="shared" si="167"/>
        <v>-0.89999999999999991</v>
      </c>
      <c r="AL256" s="14">
        <f t="shared" si="168"/>
        <v>4.9875414856845879E-3</v>
      </c>
    </row>
    <row r="257" spans="1:38" ht="17.25" customHeight="1" x14ac:dyDescent="0.2">
      <c r="A257" s="19" t="s">
        <v>0</v>
      </c>
      <c r="B257" s="19">
        <v>2019</v>
      </c>
      <c r="C257" s="14">
        <v>0</v>
      </c>
      <c r="D257" s="14">
        <v>1</v>
      </c>
      <c r="E257" s="14">
        <v>0</v>
      </c>
      <c r="F257" s="14">
        <v>1584.67</v>
      </c>
      <c r="G257" s="16">
        <f t="shared" si="136"/>
        <v>1.5750436711933888</v>
      </c>
      <c r="H257" s="14">
        <f t="shared" si="129"/>
        <v>7.3681314627416139</v>
      </c>
      <c r="I257" s="17">
        <v>1539275</v>
      </c>
      <c r="J257" s="15">
        <v>1815</v>
      </c>
      <c r="K257" s="14">
        <f t="shared" si="130"/>
        <v>0.11791265368436439</v>
      </c>
      <c r="L257" s="16">
        <f t="shared" si="137"/>
        <v>0.40833349932233276</v>
      </c>
      <c r="M257" s="14">
        <v>1.036888899675622</v>
      </c>
      <c r="N257" s="16">
        <f t="shared" si="138"/>
        <v>0.42644191258817377</v>
      </c>
      <c r="O257" s="14">
        <v>1.43</v>
      </c>
      <c r="P257" s="17">
        <v>-7.0000000000000062E-2</v>
      </c>
      <c r="Q257" s="14">
        <v>14021</v>
      </c>
      <c r="R257" s="14">
        <f>[1]Feuil1!J291/panel_choc_taux_suisse_2014_202!Q257</f>
        <v>52076.653108432583</v>
      </c>
      <c r="S257" s="14">
        <v>49.5</v>
      </c>
      <c r="T257" s="17">
        <f t="shared" si="131"/>
        <v>-6.8451095146797661E-2</v>
      </c>
      <c r="U257" s="17">
        <f t="shared" si="132"/>
        <v>0.88660503907280475</v>
      </c>
      <c r="V257" s="14">
        <v>97500</v>
      </c>
      <c r="W257" s="16">
        <f t="shared" si="139"/>
        <v>0.50521137880769029</v>
      </c>
      <c r="X257" s="14">
        <f t="shared" si="133"/>
        <v>11.487607656985938</v>
      </c>
      <c r="Y257" s="14">
        <v>2.1</v>
      </c>
      <c r="Z257" s="16">
        <f t="shared" si="140"/>
        <v>-0.37338004336983804</v>
      </c>
      <c r="AA257" s="14">
        <f t="shared" si="141"/>
        <v>0.74193734472937733</v>
      </c>
      <c r="AB257" s="14">
        <v>262396</v>
      </c>
      <c r="AC257" s="17">
        <v>8811</v>
      </c>
      <c r="AD257" s="14">
        <f t="shared" si="134"/>
        <v>5.7241233697682354E-3</v>
      </c>
      <c r="AE257" s="14">
        <f t="shared" si="135"/>
        <v>0.40907697196300352</v>
      </c>
      <c r="AF257" s="14">
        <f t="shared" si="142"/>
        <v>-2.8635388037410271E-2</v>
      </c>
      <c r="AG257" s="14">
        <f t="shared" si="143"/>
        <v>-2.9053379667587378E-2</v>
      </c>
      <c r="AH257" s="14">
        <f t="shared" si="144"/>
        <v>-0.28894609830003931</v>
      </c>
      <c r="AI257" s="14">
        <f t="shared" si="165"/>
        <v>6.2288538153811857E-3</v>
      </c>
      <c r="AJ257" s="14">
        <f t="shared" si="166"/>
        <v>-9.5901225469546825E-4</v>
      </c>
      <c r="AK257" s="14">
        <f t="shared" si="167"/>
        <v>-0.39999999999999991</v>
      </c>
      <c r="AL257" s="14">
        <f t="shared" si="168"/>
        <v>8.9560042131218154E-3</v>
      </c>
    </row>
    <row r="258" spans="1:38" ht="17.25" customHeight="1" x14ac:dyDescent="0.2">
      <c r="A258" s="19" t="s">
        <v>0</v>
      </c>
      <c r="B258" s="19">
        <v>2020</v>
      </c>
      <c r="C258" s="14">
        <v>0</v>
      </c>
      <c r="D258" s="14">
        <v>1</v>
      </c>
      <c r="E258" s="14">
        <v>0</v>
      </c>
      <c r="F258" s="14">
        <v>1592</v>
      </c>
      <c r="G258" s="16">
        <f t="shared" si="136"/>
        <v>1.6121997331149178</v>
      </c>
      <c r="H258" s="14">
        <f t="shared" ref="H258:H261" si="169">LN(F258)</f>
        <v>7.3727463664043285</v>
      </c>
      <c r="I258" s="17">
        <v>1553423</v>
      </c>
      <c r="J258" s="15">
        <v>-2091</v>
      </c>
      <c r="K258" s="14">
        <f t="shared" ref="K258:K261" si="170">(J258/I258)*100</f>
        <v>-0.1346059637329948</v>
      </c>
      <c r="L258" s="16">
        <f t="shared" si="137"/>
        <v>-0.37295510796349479</v>
      </c>
      <c r="M258" s="14">
        <v>1.0413346451454319</v>
      </c>
      <c r="N258" s="16">
        <f t="shared" si="138"/>
        <v>0.61203884966534006</v>
      </c>
      <c r="O258" s="14">
        <v>1.33</v>
      </c>
      <c r="P258" s="17">
        <v>-9.9999999999999867E-2</v>
      </c>
      <c r="Q258" s="14">
        <v>13760</v>
      </c>
      <c r="R258" s="14">
        <f>[1]Feuil1!J292/panel_choc_taux_suisse_2014_202!Q258</f>
        <v>54463.427850654072</v>
      </c>
      <c r="S258" s="14">
        <v>49.3</v>
      </c>
      <c r="T258" s="17">
        <f t="shared" si="131"/>
        <v>-2.8313897583228619E-2</v>
      </c>
      <c r="U258" s="17">
        <f t="shared" si="132"/>
        <v>0.86641256270989897</v>
      </c>
      <c r="V258" s="14">
        <v>98280.367289999995</v>
      </c>
      <c r="W258" s="16">
        <f t="shared" si="139"/>
        <v>0.54948639249158726</v>
      </c>
      <c r="X258" s="14">
        <f t="shared" ref="X258:X261" si="171">LN(V258)</f>
        <v>11.495579563807619</v>
      </c>
      <c r="Y258" s="14">
        <v>3</v>
      </c>
      <c r="Z258" s="16">
        <f t="shared" si="140"/>
        <v>0.40187222059238209</v>
      </c>
      <c r="AA258" s="14">
        <f t="shared" si="141"/>
        <v>1.0986122886681098</v>
      </c>
      <c r="AB258" s="14">
        <v>265661</v>
      </c>
      <c r="AC258" s="17">
        <v>8576</v>
      </c>
      <c r="AD258" s="14">
        <f t="shared" ref="AD258:AD261" si="172">AC258/I258</f>
        <v>5.5207113580782565E-3</v>
      </c>
      <c r="AE258" s="14">
        <f t="shared" si="135"/>
        <v>0.41904933256333515</v>
      </c>
      <c r="AF258" s="14">
        <f t="shared" si="142"/>
        <v>-4.190493325633346E-2</v>
      </c>
      <c r="AG258" s="14">
        <f t="shared" si="143"/>
        <v>-4.2808271337974255E-2</v>
      </c>
      <c r="AH258" s="14">
        <f t="shared" si="144"/>
        <v>-0.42540523447313833</v>
      </c>
      <c r="AI258" s="14">
        <f t="shared" si="165"/>
        <v>4.6149036627145534E-3</v>
      </c>
      <c r="AJ258" s="14">
        <f t="shared" si="166"/>
        <v>-0.2525186174173592</v>
      </c>
      <c r="AK258" s="14">
        <f t="shared" si="167"/>
        <v>0.89999999999999991</v>
      </c>
      <c r="AL258" s="14">
        <f t="shared" si="168"/>
        <v>7.9719068216803635E-3</v>
      </c>
    </row>
    <row r="259" spans="1:38" ht="17.25" customHeight="1" x14ac:dyDescent="0.2">
      <c r="A259" s="19" t="s">
        <v>0</v>
      </c>
      <c r="B259" s="19">
        <v>2021</v>
      </c>
      <c r="C259" s="14">
        <v>0</v>
      </c>
      <c r="D259" s="14">
        <v>1</v>
      </c>
      <c r="E259" s="14">
        <v>0</v>
      </c>
      <c r="F259" s="14">
        <v>1622.17</v>
      </c>
      <c r="G259" s="16">
        <f t="shared" ref="G259:G261" si="173">(F259-AVERAGE($F$2:$F$261))/STDEV($F$2:$F$261)</f>
        <v>1.7651326646527823</v>
      </c>
      <c r="H259" s="14">
        <f t="shared" si="169"/>
        <v>7.3915200380612198</v>
      </c>
      <c r="I259" s="17">
        <v>1564662</v>
      </c>
      <c r="J259" s="15">
        <v>-5123</v>
      </c>
      <c r="K259" s="14">
        <f t="shared" si="170"/>
        <v>-0.32741895693766448</v>
      </c>
      <c r="L259" s="16">
        <f t="shared" ref="L259:L261" si="174">(K259-AVERAGE($K$2:$K$261))/STDEV($K$2:$K$261)</f>
        <v>-0.96951545851581922</v>
      </c>
      <c r="M259" s="14">
        <v>1.0457435779736526</v>
      </c>
      <c r="N259" s="16">
        <f t="shared" ref="N259:N261" si="175">(M259-AVERAGE($M$2:$M$261))/STDEV($M$2:$M$261)</f>
        <v>0.79609896607405228</v>
      </c>
      <c r="O259" s="14">
        <v>1.25</v>
      </c>
      <c r="P259" s="17">
        <v>-8.0000000000000071E-2</v>
      </c>
      <c r="Q259" s="14">
        <v>13792</v>
      </c>
      <c r="R259" s="14">
        <f>[1]Feuil1!J293/panel_choc_taux_suisse_2014_202!Q259</f>
        <v>56057.84411615428</v>
      </c>
      <c r="S259" s="14">
        <v>49.6</v>
      </c>
      <c r="T259" s="17">
        <f t="shared" si="131"/>
        <v>-1.5013963802930988E-3</v>
      </c>
      <c r="U259" s="17">
        <f t="shared" si="132"/>
        <v>0.89670127725425763</v>
      </c>
      <c r="V259" s="14">
        <v>98083.806549999994</v>
      </c>
      <c r="W259" s="16">
        <f t="shared" ref="W259:W261" si="176">(V259-AVERAGE($V$2:$V$261))/STDEV($V$2:$V$261)</f>
        <v>0.5383342983882875</v>
      </c>
      <c r="X259" s="14">
        <f t="shared" si="171"/>
        <v>11.493577561081688</v>
      </c>
      <c r="Y259" s="14">
        <v>2.9</v>
      </c>
      <c r="Z259" s="16">
        <f t="shared" ref="Z259:Z261" si="177">(Y259-AVERAGE($Y$2:$Y$261))/STDEV($Y$2:$Y$261)</f>
        <v>0.3157330801521353</v>
      </c>
      <c r="AA259" s="14">
        <f t="shared" ref="AA259:AA261" si="178">LN(Y259)</f>
        <v>1.0647107369924282</v>
      </c>
      <c r="AB259" s="14">
        <v>269307</v>
      </c>
      <c r="AC259" s="17">
        <v>7893</v>
      </c>
      <c r="AD259" s="14">
        <f t="shared" si="172"/>
        <v>5.0445399709330195E-3</v>
      </c>
      <c r="AE259" s="14">
        <f t="shared" si="135"/>
        <v>0.44759994043698226</v>
      </c>
      <c r="AF259" s="14">
        <f t="shared" ref="AF259:AF261" si="179">AE259*P259</f>
        <v>-3.580799523495861E-2</v>
      </c>
      <c r="AG259" s="14">
        <f t="shared" ref="AG259:AG261" si="180">LN(1+AF259)</f>
        <v>-3.6464829136841431E-2</v>
      </c>
      <c r="AH259" s="14">
        <f t="shared" ref="AH259:AH261" si="181">(AF259-AVERAGE($AF$2:$AF$261))/STDEV($AF$2:$AF$261)</f>
        <v>-0.36270656002939955</v>
      </c>
      <c r="AI259" s="14">
        <f t="shared" si="165"/>
        <v>1.8773671656891366E-2</v>
      </c>
      <c r="AJ259" s="14">
        <f t="shared" si="166"/>
        <v>-0.19281299320466969</v>
      </c>
      <c r="AK259" s="14">
        <f t="shared" si="167"/>
        <v>-0.10000000000000009</v>
      </c>
      <c r="AL259" s="14">
        <f t="shared" si="168"/>
        <v>-2.0020027259306516E-3</v>
      </c>
    </row>
    <row r="260" spans="1:38" ht="17.25" customHeight="1" x14ac:dyDescent="0.2">
      <c r="A260" s="19" t="s">
        <v>0</v>
      </c>
      <c r="B260" s="19">
        <v>2022</v>
      </c>
      <c r="C260" s="14">
        <v>0</v>
      </c>
      <c r="D260" s="14">
        <v>1</v>
      </c>
      <c r="E260" s="14">
        <v>0</v>
      </c>
      <c r="F260" s="14">
        <v>1652.5</v>
      </c>
      <c r="G260" s="16">
        <f t="shared" si="173"/>
        <v>1.9188766425627395</v>
      </c>
      <c r="H260" s="14">
        <f t="shared" si="169"/>
        <v>7.410044571725841</v>
      </c>
      <c r="I260" s="17">
        <v>1579967</v>
      </c>
      <c r="J260" s="15">
        <v>-3552</v>
      </c>
      <c r="K260" s="14">
        <f t="shared" si="170"/>
        <v>-0.22481482208172704</v>
      </c>
      <c r="L260" s="16">
        <f t="shared" si="174"/>
        <v>-0.65205988853354901</v>
      </c>
      <c r="M260" s="14">
        <v>0.98600652141555722</v>
      </c>
      <c r="N260" s="16">
        <f t="shared" si="175"/>
        <v>-1.6977493215702677</v>
      </c>
      <c r="O260" s="14">
        <v>1.21</v>
      </c>
      <c r="P260" s="17">
        <v>-4.0000000000000036E-2</v>
      </c>
      <c r="Q260" s="14">
        <v>13697</v>
      </c>
      <c r="R260" s="14">
        <f>[1]Feuil1!J294/panel_choc_taux_suisse_2014_202!Q260</f>
        <v>58124.589141174467</v>
      </c>
      <c r="S260" s="14">
        <v>48.6</v>
      </c>
      <c r="T260" s="17">
        <f t="shared" si="131"/>
        <v>3.3254021429076686E-2</v>
      </c>
      <c r="U260" s="17">
        <f t="shared" si="132"/>
        <v>0.7957388954397302</v>
      </c>
      <c r="V260" s="14">
        <v>98966.560809999995</v>
      </c>
      <c r="W260" s="16">
        <f t="shared" si="176"/>
        <v>0.58841835168198542</v>
      </c>
      <c r="X260" s="14">
        <f t="shared" si="171"/>
        <v>11.502537302463768</v>
      </c>
      <c r="Y260" s="14">
        <v>1.8</v>
      </c>
      <c r="Z260" s="16">
        <f t="shared" si="177"/>
        <v>-0.63179746469057818</v>
      </c>
      <c r="AA260" s="14">
        <f t="shared" si="178"/>
        <v>0.58778666490211906</v>
      </c>
      <c r="AB260" s="14">
        <v>272951</v>
      </c>
      <c r="AC260" s="17">
        <v>8504</v>
      </c>
      <c r="AD260" s="14">
        <f t="shared" si="172"/>
        <v>5.3823908980377439E-3</v>
      </c>
      <c r="AE260" s="14">
        <f t="shared" si="135"/>
        <v>0.41449645843440341</v>
      </c>
      <c r="AF260" s="14">
        <f t="shared" si="179"/>
        <v>-1.6579858337376151E-2</v>
      </c>
      <c r="AG260" s="14">
        <f t="shared" si="180"/>
        <v>-1.6718842555895258E-2</v>
      </c>
      <c r="AH260" s="14">
        <f t="shared" si="181"/>
        <v>-0.16497145245989392</v>
      </c>
      <c r="AI260" s="14">
        <f t="shared" si="165"/>
        <v>1.8524533664621146E-2</v>
      </c>
      <c r="AJ260" s="14">
        <f t="shared" si="166"/>
        <v>0.10260413485593745</v>
      </c>
      <c r="AK260" s="14">
        <f t="shared" si="167"/>
        <v>-1.0999999999999999</v>
      </c>
      <c r="AL260" s="14">
        <f t="shared" si="168"/>
        <v>8.9597413820801108E-3</v>
      </c>
    </row>
    <row r="261" spans="1:38" ht="17.25" customHeight="1" x14ac:dyDescent="0.2">
      <c r="A261" s="19" t="s">
        <v>0</v>
      </c>
      <c r="B261" s="19">
        <v>2023</v>
      </c>
      <c r="C261" s="14">
        <v>0</v>
      </c>
      <c r="D261" s="14">
        <v>1</v>
      </c>
      <c r="E261" s="14">
        <v>0</v>
      </c>
      <c r="F261" s="14">
        <v>1899</v>
      </c>
      <c r="G261" s="16">
        <f t="shared" si="173"/>
        <v>3.1683949595691532</v>
      </c>
      <c r="H261" s="14">
        <f t="shared" si="169"/>
        <v>7.5490827108122858</v>
      </c>
      <c r="I261" s="17">
        <v>1605508</v>
      </c>
      <c r="J261" s="15">
        <v>-3178</v>
      </c>
      <c r="K261" s="14">
        <f t="shared" si="170"/>
        <v>-0.19794357922850586</v>
      </c>
      <c r="L261" s="16">
        <f t="shared" si="174"/>
        <v>-0.56892068826565945</v>
      </c>
      <c r="M261" s="14">
        <v>1.0341430614279774</v>
      </c>
      <c r="N261" s="16">
        <f t="shared" si="175"/>
        <v>0.31181115562449047</v>
      </c>
      <c r="O261" s="14">
        <v>1.48</v>
      </c>
      <c r="P261" s="17">
        <v>0.27</v>
      </c>
      <c r="Q261" s="14">
        <v>14548</v>
      </c>
      <c r="R261" s="14">
        <f>[1]Feuil1!J295/panel_choc_taux_suisse_2014_202!Q261</f>
        <v>55890.042726949869</v>
      </c>
      <c r="S261" s="14">
        <v>50.6</v>
      </c>
      <c r="T261" s="17">
        <f t="shared" si="131"/>
        <v>-4.3232284496529903E-3</v>
      </c>
      <c r="U261" s="17">
        <f t="shared" si="132"/>
        <v>0.99766365906878518</v>
      </c>
      <c r="V261" s="14">
        <v>115790.87609999999</v>
      </c>
      <c r="W261" s="16">
        <f t="shared" si="176"/>
        <v>1.5429647546801837</v>
      </c>
      <c r="X261" s="14">
        <f t="shared" si="171"/>
        <v>11.659541050861485</v>
      </c>
      <c r="Y261" s="14">
        <v>1.7</v>
      </c>
      <c r="Z261" s="16">
        <f t="shared" si="177"/>
        <v>-0.71793660513082491</v>
      </c>
      <c r="AA261" s="14">
        <f t="shared" si="178"/>
        <v>0.53062825106217038</v>
      </c>
      <c r="AB261" s="14">
        <v>277903</v>
      </c>
      <c r="AC261" s="17">
        <v>9640</v>
      </c>
      <c r="AD261" s="14">
        <f t="shared" si="172"/>
        <v>6.0043300936526009E-3</v>
      </c>
      <c r="AE261" s="14">
        <f t="shared" si="135"/>
        <v>0.49667021530956612</v>
      </c>
      <c r="AF261" s="14">
        <f t="shared" si="179"/>
        <v>0.13410095813358286</v>
      </c>
      <c r="AG261" s="14">
        <f t="shared" si="180"/>
        <v>0.12584022967926595</v>
      </c>
      <c r="AH261" s="14">
        <f t="shared" si="181"/>
        <v>1.3845747990696602</v>
      </c>
      <c r="AI261" s="14">
        <f t="shared" si="165"/>
        <v>0.1390381390864448</v>
      </c>
      <c r="AJ261" s="14">
        <f t="shared" si="166"/>
        <v>2.6871242853221178E-2</v>
      </c>
      <c r="AK261" s="14">
        <f t="shared" si="167"/>
        <v>-0.10000000000000009</v>
      </c>
      <c r="AL261" s="14">
        <f t="shared" si="168"/>
        <v>0.15700374839771669</v>
      </c>
    </row>
    <row r="262" spans="1:38" ht="17.25" customHeight="1" x14ac:dyDescent="0.2">
      <c r="C262"/>
      <c r="D262"/>
      <c r="E262"/>
    </row>
    <row r="263" spans="1:38" ht="17.25" customHeight="1" x14ac:dyDescent="0.2"/>
    <row r="264" spans="1:38" ht="17.25" customHeight="1" x14ac:dyDescent="0.2"/>
    <row r="265" spans="1:38" ht="17.25" customHeight="1" x14ac:dyDescent="0.2"/>
    <row r="266" spans="1:38" ht="17.25" customHeight="1" x14ac:dyDescent="0.2"/>
    <row r="267" spans="1:38" ht="17.25" customHeight="1" x14ac:dyDescent="0.2"/>
    <row r="268" spans="1:38" ht="17.25" customHeight="1" x14ac:dyDescent="0.2"/>
    <row r="269" spans="1:38" ht="17.25" customHeight="1" x14ac:dyDescent="0.2"/>
    <row r="270" spans="1:38" ht="17.25" customHeight="1" x14ac:dyDescent="0.2"/>
    <row r="271" spans="1:38" ht="17.25" customHeight="1" x14ac:dyDescent="0.2"/>
    <row r="272" spans="1:38" ht="17.25" customHeight="1" x14ac:dyDescent="0.2"/>
    <row r="273" spans="6:27" ht="17.25" customHeight="1" x14ac:dyDescent="0.2"/>
    <row r="274" spans="6:27" ht="17.25" customHeight="1" x14ac:dyDescent="0.2"/>
    <row r="275" spans="6:27" ht="17.25" customHeight="1" x14ac:dyDescent="0.2"/>
    <row r="276" spans="6:27" ht="17.25" customHeight="1" x14ac:dyDescent="0.2"/>
    <row r="277" spans="6:27" ht="17.25" customHeight="1" x14ac:dyDescent="0.2">
      <c r="F277" s="4"/>
      <c r="G277" s="7"/>
      <c r="H277" s="4"/>
      <c r="I277" s="4"/>
      <c r="J277" s="4"/>
    </row>
    <row r="278" spans="6:27" ht="17.25" customHeight="1" x14ac:dyDescent="0.2">
      <c r="F278" s="4"/>
      <c r="G278" s="7"/>
      <c r="H278" s="4"/>
      <c r="I278" s="4"/>
      <c r="J278" s="4"/>
    </row>
    <row r="279" spans="6:27" ht="17.25" customHeight="1" x14ac:dyDescent="0.2">
      <c r="F279" s="4"/>
      <c r="G279" s="7"/>
      <c r="H279" s="4"/>
      <c r="I279" s="4"/>
      <c r="J279" s="4"/>
    </row>
    <row r="280" spans="6:27" ht="17.25" customHeight="1" x14ac:dyDescent="0.2">
      <c r="F280" s="4"/>
      <c r="G280" s="7"/>
      <c r="H280" s="4"/>
      <c r="I280" s="4"/>
      <c r="J280" s="4"/>
    </row>
    <row r="281" spans="6:27" ht="17.25" customHeight="1" x14ac:dyDescent="0.2">
      <c r="F281" s="4"/>
      <c r="G281" s="7"/>
      <c r="H281" s="4"/>
      <c r="I281" s="4"/>
      <c r="J281" s="4"/>
    </row>
    <row r="282" spans="6:27" ht="17.25" customHeight="1" x14ac:dyDescent="0.2">
      <c r="F282" s="4"/>
      <c r="G282" s="7"/>
      <c r="H282" s="4"/>
      <c r="I282" s="4"/>
      <c r="J282" s="4"/>
    </row>
    <row r="283" spans="6:27" ht="17.25" customHeight="1" x14ac:dyDescent="0.2">
      <c r="F283" s="4"/>
      <c r="G283" s="7"/>
      <c r="H283" s="4"/>
      <c r="I283" s="4"/>
      <c r="J283" s="4"/>
      <c r="V283" s="5"/>
      <c r="W283" s="9"/>
      <c r="X283" s="5"/>
      <c r="Y283" s="5"/>
      <c r="Z283" s="9"/>
      <c r="AA283" s="5"/>
    </row>
    <row r="284" spans="6:27" ht="17.25" customHeight="1" x14ac:dyDescent="0.2">
      <c r="F284" s="4"/>
      <c r="G284" s="7"/>
      <c r="H284" s="4"/>
      <c r="I284" s="4"/>
      <c r="J284" s="4"/>
    </row>
    <row r="285" spans="6:27" ht="17.25" customHeight="1" x14ac:dyDescent="0.2">
      <c r="F285" s="4"/>
      <c r="G285" s="7"/>
      <c r="H285" s="4"/>
      <c r="I285" s="4"/>
      <c r="J285" s="4"/>
    </row>
    <row r="286" spans="6:27" ht="17.25" customHeight="1" x14ac:dyDescent="0.2">
      <c r="F286" s="4"/>
      <c r="G286" s="7"/>
      <c r="H286" s="4"/>
      <c r="I286" s="4"/>
      <c r="J286" s="4"/>
    </row>
  </sheetData>
  <phoneticPr fontId="6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5FCF0-B0F3-FC47-8F46-C87D61C91105}">
  <dimension ref="A1:E261"/>
  <sheetViews>
    <sheetView workbookViewId="0">
      <selection sqref="A1:E262"/>
    </sheetView>
  </sheetViews>
  <sheetFormatPr baseColWidth="10" defaultRowHeight="15" x14ac:dyDescent="0.2"/>
  <sheetData>
    <row r="1" spans="1:5" x14ac:dyDescent="0.2">
      <c r="A1" t="s">
        <v>52</v>
      </c>
      <c r="B1" t="s">
        <v>51</v>
      </c>
      <c r="C1" t="s">
        <v>59</v>
      </c>
      <c r="D1" t="s">
        <v>60</v>
      </c>
      <c r="E1" t="s">
        <v>61</v>
      </c>
    </row>
    <row r="2" spans="1:5" x14ac:dyDescent="0.2">
      <c r="A2" t="s">
        <v>25</v>
      </c>
      <c r="B2">
        <v>2014</v>
      </c>
      <c r="C2">
        <v>1</v>
      </c>
      <c r="D2">
        <v>0</v>
      </c>
      <c r="E2">
        <v>0</v>
      </c>
    </row>
    <row r="3" spans="1:5" x14ac:dyDescent="0.2">
      <c r="A3" t="s">
        <v>25</v>
      </c>
      <c r="B3">
        <v>2015</v>
      </c>
      <c r="C3">
        <v>1</v>
      </c>
      <c r="D3">
        <v>0</v>
      </c>
      <c r="E3">
        <v>0</v>
      </c>
    </row>
    <row r="4" spans="1:5" x14ac:dyDescent="0.2">
      <c r="A4" t="s">
        <v>25</v>
      </c>
      <c r="B4">
        <v>2016</v>
      </c>
      <c r="C4">
        <v>1</v>
      </c>
      <c r="D4">
        <v>0</v>
      </c>
      <c r="E4">
        <v>0</v>
      </c>
    </row>
    <row r="5" spans="1:5" x14ac:dyDescent="0.2">
      <c r="A5" t="s">
        <v>25</v>
      </c>
      <c r="B5">
        <v>2017</v>
      </c>
      <c r="C5">
        <v>1</v>
      </c>
      <c r="D5">
        <v>0</v>
      </c>
      <c r="E5">
        <v>0</v>
      </c>
    </row>
    <row r="6" spans="1:5" x14ac:dyDescent="0.2">
      <c r="A6" t="s">
        <v>25</v>
      </c>
      <c r="B6">
        <v>2018</v>
      </c>
      <c r="C6">
        <v>1</v>
      </c>
      <c r="D6">
        <v>0</v>
      </c>
      <c r="E6">
        <v>0</v>
      </c>
    </row>
    <row r="7" spans="1:5" x14ac:dyDescent="0.2">
      <c r="A7" t="s">
        <v>25</v>
      </c>
      <c r="B7">
        <v>2019</v>
      </c>
      <c r="C7">
        <v>1</v>
      </c>
      <c r="D7">
        <v>0</v>
      </c>
      <c r="E7">
        <v>0</v>
      </c>
    </row>
    <row r="8" spans="1:5" x14ac:dyDescent="0.2">
      <c r="A8" t="s">
        <v>25</v>
      </c>
      <c r="B8">
        <v>2020</v>
      </c>
      <c r="C8">
        <v>1</v>
      </c>
      <c r="D8">
        <v>0</v>
      </c>
      <c r="E8">
        <v>0</v>
      </c>
    </row>
    <row r="9" spans="1:5" x14ac:dyDescent="0.2">
      <c r="A9" t="s">
        <v>25</v>
      </c>
      <c r="B9">
        <v>2021</v>
      </c>
      <c r="C9">
        <v>1</v>
      </c>
      <c r="D9">
        <v>0</v>
      </c>
      <c r="E9">
        <v>0</v>
      </c>
    </row>
    <row r="10" spans="1:5" x14ac:dyDescent="0.2">
      <c r="A10" t="s">
        <v>25</v>
      </c>
      <c r="B10">
        <v>2022</v>
      </c>
      <c r="C10">
        <v>1</v>
      </c>
      <c r="D10">
        <v>0</v>
      </c>
      <c r="E10">
        <v>0</v>
      </c>
    </row>
    <row r="11" spans="1:5" x14ac:dyDescent="0.2">
      <c r="A11" t="s">
        <v>25</v>
      </c>
      <c r="B11">
        <v>2023</v>
      </c>
      <c r="C11">
        <v>1</v>
      </c>
      <c r="D11">
        <v>0</v>
      </c>
      <c r="E11">
        <v>0</v>
      </c>
    </row>
    <row r="12" spans="1:5" x14ac:dyDescent="0.2">
      <c r="A12" t="s">
        <v>24</v>
      </c>
      <c r="B12">
        <v>2014</v>
      </c>
      <c r="C12">
        <v>1</v>
      </c>
      <c r="D12">
        <v>0</v>
      </c>
      <c r="E12">
        <v>0</v>
      </c>
    </row>
    <row r="13" spans="1:5" x14ac:dyDescent="0.2">
      <c r="A13" t="s">
        <v>24</v>
      </c>
      <c r="B13">
        <v>2015</v>
      </c>
      <c r="C13">
        <v>1</v>
      </c>
      <c r="D13">
        <v>0</v>
      </c>
      <c r="E13">
        <v>0</v>
      </c>
    </row>
    <row r="14" spans="1:5" x14ac:dyDescent="0.2">
      <c r="A14" t="s">
        <v>24</v>
      </c>
      <c r="B14">
        <v>2016</v>
      </c>
      <c r="C14">
        <v>1</v>
      </c>
      <c r="D14">
        <v>0</v>
      </c>
      <c r="E14">
        <v>0</v>
      </c>
    </row>
    <row r="15" spans="1:5" x14ac:dyDescent="0.2">
      <c r="A15" t="s">
        <v>24</v>
      </c>
      <c r="B15">
        <v>2017</v>
      </c>
      <c r="C15">
        <v>1</v>
      </c>
      <c r="D15">
        <v>0</v>
      </c>
      <c r="E15">
        <v>0</v>
      </c>
    </row>
    <row r="16" spans="1:5" x14ac:dyDescent="0.2">
      <c r="A16" t="s">
        <v>24</v>
      </c>
      <c r="B16">
        <v>2018</v>
      </c>
      <c r="C16">
        <v>1</v>
      </c>
      <c r="D16">
        <v>0</v>
      </c>
      <c r="E16">
        <v>0</v>
      </c>
    </row>
    <row r="17" spans="1:5" x14ac:dyDescent="0.2">
      <c r="A17" t="s">
        <v>24</v>
      </c>
      <c r="B17">
        <v>2019</v>
      </c>
      <c r="C17">
        <v>1</v>
      </c>
      <c r="D17">
        <v>0</v>
      </c>
      <c r="E17">
        <v>0</v>
      </c>
    </row>
    <row r="18" spans="1:5" x14ac:dyDescent="0.2">
      <c r="A18" t="s">
        <v>24</v>
      </c>
      <c r="B18">
        <v>2020</v>
      </c>
      <c r="C18">
        <v>1</v>
      </c>
      <c r="D18">
        <v>0</v>
      </c>
      <c r="E18">
        <v>0</v>
      </c>
    </row>
    <row r="19" spans="1:5" x14ac:dyDescent="0.2">
      <c r="A19" t="s">
        <v>24</v>
      </c>
      <c r="B19">
        <v>2021</v>
      </c>
      <c r="C19">
        <v>1</v>
      </c>
      <c r="D19">
        <v>0</v>
      </c>
      <c r="E19">
        <v>0</v>
      </c>
    </row>
    <row r="20" spans="1:5" x14ac:dyDescent="0.2">
      <c r="A20" t="s">
        <v>24</v>
      </c>
      <c r="B20">
        <v>2022</v>
      </c>
      <c r="C20">
        <v>1</v>
      </c>
      <c r="D20">
        <v>0</v>
      </c>
      <c r="E20">
        <v>0</v>
      </c>
    </row>
    <row r="21" spans="1:5" x14ac:dyDescent="0.2">
      <c r="A21" t="s">
        <v>24</v>
      </c>
      <c r="B21">
        <v>2023</v>
      </c>
      <c r="C21">
        <v>1</v>
      </c>
      <c r="D21">
        <v>0</v>
      </c>
      <c r="E21">
        <v>0</v>
      </c>
    </row>
    <row r="22" spans="1:5" x14ac:dyDescent="0.2">
      <c r="A22" t="s">
        <v>23</v>
      </c>
      <c r="B22">
        <v>2014</v>
      </c>
      <c r="C22">
        <v>1</v>
      </c>
      <c r="D22">
        <v>0</v>
      </c>
      <c r="E22">
        <v>0</v>
      </c>
    </row>
    <row r="23" spans="1:5" x14ac:dyDescent="0.2">
      <c r="A23" t="s">
        <v>23</v>
      </c>
      <c r="B23">
        <v>2015</v>
      </c>
      <c r="C23">
        <v>1</v>
      </c>
      <c r="D23">
        <v>0</v>
      </c>
      <c r="E23">
        <v>0</v>
      </c>
    </row>
    <row r="24" spans="1:5" x14ac:dyDescent="0.2">
      <c r="A24" t="s">
        <v>23</v>
      </c>
      <c r="B24">
        <v>2016</v>
      </c>
      <c r="C24">
        <v>1</v>
      </c>
      <c r="D24">
        <v>0</v>
      </c>
      <c r="E24">
        <v>0</v>
      </c>
    </row>
    <row r="25" spans="1:5" x14ac:dyDescent="0.2">
      <c r="A25" t="s">
        <v>23</v>
      </c>
      <c r="B25">
        <v>2017</v>
      </c>
      <c r="C25">
        <v>1</v>
      </c>
      <c r="D25">
        <v>0</v>
      </c>
      <c r="E25">
        <v>0</v>
      </c>
    </row>
    <row r="26" spans="1:5" x14ac:dyDescent="0.2">
      <c r="A26" t="s">
        <v>23</v>
      </c>
      <c r="B26">
        <v>2018</v>
      </c>
      <c r="C26">
        <v>1</v>
      </c>
      <c r="D26">
        <v>0</v>
      </c>
      <c r="E26">
        <v>0</v>
      </c>
    </row>
    <row r="27" spans="1:5" x14ac:dyDescent="0.2">
      <c r="A27" t="s">
        <v>23</v>
      </c>
      <c r="B27">
        <v>2019</v>
      </c>
      <c r="C27">
        <v>1</v>
      </c>
      <c r="D27">
        <v>0</v>
      </c>
      <c r="E27">
        <v>0</v>
      </c>
    </row>
    <row r="28" spans="1:5" x14ac:dyDescent="0.2">
      <c r="A28" t="s">
        <v>23</v>
      </c>
      <c r="B28">
        <v>2020</v>
      </c>
      <c r="C28">
        <v>1</v>
      </c>
      <c r="D28">
        <v>0</v>
      </c>
      <c r="E28">
        <v>0</v>
      </c>
    </row>
    <row r="29" spans="1:5" x14ac:dyDescent="0.2">
      <c r="A29" t="s">
        <v>23</v>
      </c>
      <c r="B29">
        <v>2021</v>
      </c>
      <c r="C29">
        <v>1</v>
      </c>
      <c r="D29">
        <v>0</v>
      </c>
      <c r="E29">
        <v>0</v>
      </c>
    </row>
    <row r="30" spans="1:5" x14ac:dyDescent="0.2">
      <c r="A30" t="s">
        <v>23</v>
      </c>
      <c r="B30">
        <v>2022</v>
      </c>
      <c r="C30">
        <v>1</v>
      </c>
      <c r="D30">
        <v>0</v>
      </c>
      <c r="E30">
        <v>0</v>
      </c>
    </row>
    <row r="31" spans="1:5" x14ac:dyDescent="0.2">
      <c r="A31" t="s">
        <v>23</v>
      </c>
      <c r="B31">
        <v>2023</v>
      </c>
      <c r="C31">
        <v>1</v>
      </c>
      <c r="D31">
        <v>0</v>
      </c>
      <c r="E31">
        <v>0</v>
      </c>
    </row>
    <row r="32" spans="1:5" x14ac:dyDescent="0.2">
      <c r="A32" t="s">
        <v>22</v>
      </c>
      <c r="B32">
        <v>2014</v>
      </c>
      <c r="C32">
        <v>0</v>
      </c>
      <c r="D32">
        <v>0</v>
      </c>
      <c r="E32">
        <v>1</v>
      </c>
    </row>
    <row r="33" spans="1:5" x14ac:dyDescent="0.2">
      <c r="A33" t="s">
        <v>22</v>
      </c>
      <c r="B33">
        <v>2015</v>
      </c>
      <c r="C33">
        <v>0</v>
      </c>
      <c r="D33">
        <v>0</v>
      </c>
      <c r="E33">
        <v>1</v>
      </c>
    </row>
    <row r="34" spans="1:5" x14ac:dyDescent="0.2">
      <c r="A34" t="s">
        <v>22</v>
      </c>
      <c r="B34">
        <v>2016</v>
      </c>
      <c r="C34">
        <v>0</v>
      </c>
      <c r="D34">
        <v>0</v>
      </c>
      <c r="E34">
        <v>1</v>
      </c>
    </row>
    <row r="35" spans="1:5" x14ac:dyDescent="0.2">
      <c r="A35" t="s">
        <v>22</v>
      </c>
      <c r="B35">
        <v>2017</v>
      </c>
      <c r="C35">
        <v>0</v>
      </c>
      <c r="D35">
        <v>0</v>
      </c>
      <c r="E35">
        <v>1</v>
      </c>
    </row>
    <row r="36" spans="1:5" x14ac:dyDescent="0.2">
      <c r="A36" t="s">
        <v>22</v>
      </c>
      <c r="B36">
        <v>2018</v>
      </c>
      <c r="C36">
        <v>0</v>
      </c>
      <c r="D36">
        <v>0</v>
      </c>
      <c r="E36">
        <v>1</v>
      </c>
    </row>
    <row r="37" spans="1:5" x14ac:dyDescent="0.2">
      <c r="A37" t="s">
        <v>22</v>
      </c>
      <c r="B37">
        <v>2019</v>
      </c>
      <c r="C37">
        <v>0</v>
      </c>
      <c r="D37">
        <v>0</v>
      </c>
      <c r="E37">
        <v>1</v>
      </c>
    </row>
    <row r="38" spans="1:5" x14ac:dyDescent="0.2">
      <c r="A38" t="s">
        <v>22</v>
      </c>
      <c r="B38">
        <v>2020</v>
      </c>
      <c r="C38">
        <v>0</v>
      </c>
      <c r="D38">
        <v>0</v>
      </c>
      <c r="E38">
        <v>1</v>
      </c>
    </row>
    <row r="39" spans="1:5" x14ac:dyDescent="0.2">
      <c r="A39" t="s">
        <v>22</v>
      </c>
      <c r="B39">
        <v>2021</v>
      </c>
      <c r="C39">
        <v>0</v>
      </c>
      <c r="D39">
        <v>0</v>
      </c>
      <c r="E39">
        <v>1</v>
      </c>
    </row>
    <row r="40" spans="1:5" x14ac:dyDescent="0.2">
      <c r="A40" t="s">
        <v>22</v>
      </c>
      <c r="B40">
        <v>2022</v>
      </c>
      <c r="C40">
        <v>0</v>
      </c>
      <c r="D40">
        <v>0</v>
      </c>
      <c r="E40">
        <v>1</v>
      </c>
    </row>
    <row r="41" spans="1:5" x14ac:dyDescent="0.2">
      <c r="A41" t="s">
        <v>22</v>
      </c>
      <c r="B41">
        <v>2023</v>
      </c>
      <c r="C41">
        <v>0</v>
      </c>
      <c r="D41">
        <v>0</v>
      </c>
      <c r="E41">
        <v>1</v>
      </c>
    </row>
    <row r="42" spans="1:5" x14ac:dyDescent="0.2">
      <c r="A42" t="s">
        <v>21</v>
      </c>
      <c r="B42">
        <v>2014</v>
      </c>
      <c r="C42">
        <v>0</v>
      </c>
      <c r="D42">
        <v>1</v>
      </c>
      <c r="E42">
        <v>0</v>
      </c>
    </row>
    <row r="43" spans="1:5" x14ac:dyDescent="0.2">
      <c r="A43" t="s">
        <v>21</v>
      </c>
      <c r="B43">
        <v>2015</v>
      </c>
      <c r="C43">
        <v>0</v>
      </c>
      <c r="D43">
        <v>1</v>
      </c>
      <c r="E43">
        <v>0</v>
      </c>
    </row>
    <row r="44" spans="1:5" x14ac:dyDescent="0.2">
      <c r="A44" t="s">
        <v>21</v>
      </c>
      <c r="B44">
        <v>2016</v>
      </c>
      <c r="C44">
        <v>0</v>
      </c>
      <c r="D44">
        <v>1</v>
      </c>
      <c r="E44">
        <v>0</v>
      </c>
    </row>
    <row r="45" spans="1:5" x14ac:dyDescent="0.2">
      <c r="A45" t="s">
        <v>21</v>
      </c>
      <c r="B45">
        <v>2017</v>
      </c>
      <c r="C45">
        <v>0</v>
      </c>
      <c r="D45">
        <v>1</v>
      </c>
      <c r="E45">
        <v>0</v>
      </c>
    </row>
    <row r="46" spans="1:5" x14ac:dyDescent="0.2">
      <c r="A46" t="s">
        <v>21</v>
      </c>
      <c r="B46">
        <v>2018</v>
      </c>
      <c r="C46">
        <v>0</v>
      </c>
      <c r="D46">
        <v>1</v>
      </c>
      <c r="E46">
        <v>0</v>
      </c>
    </row>
    <row r="47" spans="1:5" x14ac:dyDescent="0.2">
      <c r="A47" t="s">
        <v>21</v>
      </c>
      <c r="B47">
        <v>2019</v>
      </c>
      <c r="C47">
        <v>0</v>
      </c>
      <c r="D47">
        <v>1</v>
      </c>
      <c r="E47">
        <v>0</v>
      </c>
    </row>
    <row r="48" spans="1:5" x14ac:dyDescent="0.2">
      <c r="A48" t="s">
        <v>21</v>
      </c>
      <c r="B48">
        <v>2020</v>
      </c>
      <c r="C48">
        <v>0</v>
      </c>
      <c r="D48">
        <v>1</v>
      </c>
      <c r="E48">
        <v>0</v>
      </c>
    </row>
    <row r="49" spans="1:5" x14ac:dyDescent="0.2">
      <c r="A49" t="s">
        <v>21</v>
      </c>
      <c r="B49">
        <v>2021</v>
      </c>
      <c r="C49">
        <v>0</v>
      </c>
      <c r="D49">
        <v>1</v>
      </c>
      <c r="E49">
        <v>0</v>
      </c>
    </row>
    <row r="50" spans="1:5" x14ac:dyDescent="0.2">
      <c r="A50" t="s">
        <v>21</v>
      </c>
      <c r="B50">
        <v>2022</v>
      </c>
      <c r="C50">
        <v>0</v>
      </c>
      <c r="D50">
        <v>1</v>
      </c>
      <c r="E50">
        <v>0</v>
      </c>
    </row>
    <row r="51" spans="1:5" x14ac:dyDescent="0.2">
      <c r="A51" t="s">
        <v>21</v>
      </c>
      <c r="B51">
        <v>2023</v>
      </c>
      <c r="C51">
        <v>0</v>
      </c>
      <c r="D51">
        <v>1</v>
      </c>
      <c r="E51">
        <v>0</v>
      </c>
    </row>
    <row r="52" spans="1:5" x14ac:dyDescent="0.2">
      <c r="A52" t="s">
        <v>20</v>
      </c>
      <c r="B52">
        <v>2014</v>
      </c>
      <c r="C52">
        <v>0</v>
      </c>
      <c r="D52">
        <v>0</v>
      </c>
      <c r="E52">
        <v>1</v>
      </c>
    </row>
    <row r="53" spans="1:5" x14ac:dyDescent="0.2">
      <c r="A53" t="s">
        <v>20</v>
      </c>
      <c r="B53">
        <v>2015</v>
      </c>
      <c r="C53">
        <v>0</v>
      </c>
      <c r="D53">
        <v>0</v>
      </c>
      <c r="E53">
        <v>1</v>
      </c>
    </row>
    <row r="54" spans="1:5" x14ac:dyDescent="0.2">
      <c r="A54" t="s">
        <v>20</v>
      </c>
      <c r="B54">
        <v>2016</v>
      </c>
      <c r="C54">
        <v>0</v>
      </c>
      <c r="D54">
        <v>0</v>
      </c>
      <c r="E54">
        <v>1</v>
      </c>
    </row>
    <row r="55" spans="1:5" x14ac:dyDescent="0.2">
      <c r="A55" t="s">
        <v>20</v>
      </c>
      <c r="B55">
        <v>2017</v>
      </c>
      <c r="C55">
        <v>0</v>
      </c>
      <c r="D55">
        <v>0</v>
      </c>
      <c r="E55">
        <v>1</v>
      </c>
    </row>
    <row r="56" spans="1:5" x14ac:dyDescent="0.2">
      <c r="A56" t="s">
        <v>20</v>
      </c>
      <c r="B56">
        <v>2018</v>
      </c>
      <c r="C56">
        <v>0</v>
      </c>
      <c r="D56">
        <v>0</v>
      </c>
      <c r="E56">
        <v>1</v>
      </c>
    </row>
    <row r="57" spans="1:5" x14ac:dyDescent="0.2">
      <c r="A57" t="s">
        <v>20</v>
      </c>
      <c r="B57">
        <v>2019</v>
      </c>
      <c r="C57">
        <v>0</v>
      </c>
      <c r="D57">
        <v>0</v>
      </c>
      <c r="E57">
        <v>1</v>
      </c>
    </row>
    <row r="58" spans="1:5" x14ac:dyDescent="0.2">
      <c r="A58" t="s">
        <v>20</v>
      </c>
      <c r="B58">
        <v>2020</v>
      </c>
      <c r="C58">
        <v>0</v>
      </c>
      <c r="D58">
        <v>0</v>
      </c>
      <c r="E58">
        <v>1</v>
      </c>
    </row>
    <row r="59" spans="1:5" x14ac:dyDescent="0.2">
      <c r="A59" t="s">
        <v>20</v>
      </c>
      <c r="B59">
        <v>2021</v>
      </c>
      <c r="C59">
        <v>0</v>
      </c>
      <c r="D59">
        <v>0</v>
      </c>
      <c r="E59">
        <v>1</v>
      </c>
    </row>
    <row r="60" spans="1:5" x14ac:dyDescent="0.2">
      <c r="A60" t="s">
        <v>20</v>
      </c>
      <c r="B60">
        <v>2022</v>
      </c>
      <c r="C60">
        <v>0</v>
      </c>
      <c r="D60">
        <v>0</v>
      </c>
      <c r="E60">
        <v>1</v>
      </c>
    </row>
    <row r="61" spans="1:5" x14ac:dyDescent="0.2">
      <c r="A61" t="s">
        <v>20</v>
      </c>
      <c r="B61">
        <v>2023</v>
      </c>
      <c r="C61">
        <v>0</v>
      </c>
      <c r="D61">
        <v>0</v>
      </c>
      <c r="E61">
        <v>1</v>
      </c>
    </row>
    <row r="62" spans="1:5" x14ac:dyDescent="0.2">
      <c r="A62" t="s">
        <v>19</v>
      </c>
      <c r="B62">
        <v>2014</v>
      </c>
      <c r="C62">
        <v>0</v>
      </c>
      <c r="D62">
        <v>0</v>
      </c>
      <c r="E62">
        <v>1</v>
      </c>
    </row>
    <row r="63" spans="1:5" x14ac:dyDescent="0.2">
      <c r="A63" t="s">
        <v>19</v>
      </c>
      <c r="B63">
        <v>2015</v>
      </c>
      <c r="C63">
        <v>0</v>
      </c>
      <c r="D63">
        <v>0</v>
      </c>
      <c r="E63">
        <v>1</v>
      </c>
    </row>
    <row r="64" spans="1:5" x14ac:dyDescent="0.2">
      <c r="A64" t="s">
        <v>19</v>
      </c>
      <c r="B64">
        <v>2016</v>
      </c>
      <c r="C64">
        <v>0</v>
      </c>
      <c r="D64">
        <v>0</v>
      </c>
      <c r="E64">
        <v>1</v>
      </c>
    </row>
    <row r="65" spans="1:5" x14ac:dyDescent="0.2">
      <c r="A65" t="s">
        <v>19</v>
      </c>
      <c r="B65">
        <v>2017</v>
      </c>
      <c r="C65">
        <v>0</v>
      </c>
      <c r="D65">
        <v>0</v>
      </c>
      <c r="E65">
        <v>1</v>
      </c>
    </row>
    <row r="66" spans="1:5" x14ac:dyDescent="0.2">
      <c r="A66" t="s">
        <v>19</v>
      </c>
      <c r="B66">
        <v>2018</v>
      </c>
      <c r="C66">
        <v>0</v>
      </c>
      <c r="D66">
        <v>0</v>
      </c>
      <c r="E66">
        <v>1</v>
      </c>
    </row>
    <row r="67" spans="1:5" x14ac:dyDescent="0.2">
      <c r="A67" t="s">
        <v>19</v>
      </c>
      <c r="B67">
        <v>2019</v>
      </c>
      <c r="C67">
        <v>0</v>
      </c>
      <c r="D67">
        <v>0</v>
      </c>
      <c r="E67">
        <v>1</v>
      </c>
    </row>
    <row r="68" spans="1:5" x14ac:dyDescent="0.2">
      <c r="A68" t="s">
        <v>19</v>
      </c>
      <c r="B68">
        <v>2020</v>
      </c>
      <c r="C68">
        <v>0</v>
      </c>
      <c r="D68">
        <v>0</v>
      </c>
      <c r="E68">
        <v>1</v>
      </c>
    </row>
    <row r="69" spans="1:5" x14ac:dyDescent="0.2">
      <c r="A69" t="s">
        <v>19</v>
      </c>
      <c r="B69">
        <v>2021</v>
      </c>
      <c r="C69">
        <v>0</v>
      </c>
      <c r="D69">
        <v>0</v>
      </c>
      <c r="E69">
        <v>1</v>
      </c>
    </row>
    <row r="70" spans="1:5" x14ac:dyDescent="0.2">
      <c r="A70" t="s">
        <v>19</v>
      </c>
      <c r="B70">
        <v>2022</v>
      </c>
      <c r="C70">
        <v>0</v>
      </c>
      <c r="D70">
        <v>0</v>
      </c>
      <c r="E70">
        <v>1</v>
      </c>
    </row>
    <row r="71" spans="1:5" x14ac:dyDescent="0.2">
      <c r="A71" t="s">
        <v>19</v>
      </c>
      <c r="B71">
        <v>2023</v>
      </c>
      <c r="C71">
        <v>0</v>
      </c>
      <c r="D71">
        <v>0</v>
      </c>
      <c r="E71">
        <v>1</v>
      </c>
    </row>
    <row r="72" spans="1:5" x14ac:dyDescent="0.2">
      <c r="A72" t="s">
        <v>18</v>
      </c>
      <c r="B72">
        <v>2014</v>
      </c>
      <c r="C72">
        <v>0</v>
      </c>
      <c r="D72">
        <v>0</v>
      </c>
      <c r="E72">
        <v>1</v>
      </c>
    </row>
    <row r="73" spans="1:5" x14ac:dyDescent="0.2">
      <c r="A73" t="s">
        <v>18</v>
      </c>
      <c r="B73">
        <v>2015</v>
      </c>
      <c r="C73">
        <v>0</v>
      </c>
      <c r="D73">
        <v>0</v>
      </c>
      <c r="E73">
        <v>1</v>
      </c>
    </row>
    <row r="74" spans="1:5" x14ac:dyDescent="0.2">
      <c r="A74" t="s">
        <v>18</v>
      </c>
      <c r="B74">
        <v>2016</v>
      </c>
      <c r="C74">
        <v>0</v>
      </c>
      <c r="D74">
        <v>0</v>
      </c>
      <c r="E74">
        <v>1</v>
      </c>
    </row>
    <row r="75" spans="1:5" x14ac:dyDescent="0.2">
      <c r="A75" t="s">
        <v>18</v>
      </c>
      <c r="B75">
        <v>2017</v>
      </c>
      <c r="C75">
        <v>0</v>
      </c>
      <c r="D75">
        <v>0</v>
      </c>
      <c r="E75">
        <v>1</v>
      </c>
    </row>
    <row r="76" spans="1:5" x14ac:dyDescent="0.2">
      <c r="A76" t="s">
        <v>18</v>
      </c>
      <c r="B76">
        <v>2018</v>
      </c>
      <c r="C76">
        <v>0</v>
      </c>
      <c r="D76">
        <v>0</v>
      </c>
      <c r="E76">
        <v>1</v>
      </c>
    </row>
    <row r="77" spans="1:5" x14ac:dyDescent="0.2">
      <c r="A77" t="s">
        <v>18</v>
      </c>
      <c r="B77">
        <v>2019</v>
      </c>
      <c r="C77">
        <v>0</v>
      </c>
      <c r="D77">
        <v>0</v>
      </c>
      <c r="E77">
        <v>1</v>
      </c>
    </row>
    <row r="78" spans="1:5" x14ac:dyDescent="0.2">
      <c r="A78" t="s">
        <v>18</v>
      </c>
      <c r="B78">
        <v>2020</v>
      </c>
      <c r="C78">
        <v>0</v>
      </c>
      <c r="D78">
        <v>0</v>
      </c>
      <c r="E78">
        <v>1</v>
      </c>
    </row>
    <row r="79" spans="1:5" x14ac:dyDescent="0.2">
      <c r="A79" t="s">
        <v>18</v>
      </c>
      <c r="B79">
        <v>2021</v>
      </c>
      <c r="C79">
        <v>0</v>
      </c>
      <c r="D79">
        <v>0</v>
      </c>
      <c r="E79">
        <v>1</v>
      </c>
    </row>
    <row r="80" spans="1:5" x14ac:dyDescent="0.2">
      <c r="A80" t="s">
        <v>18</v>
      </c>
      <c r="B80">
        <v>2022</v>
      </c>
      <c r="C80">
        <v>0</v>
      </c>
      <c r="D80">
        <v>0</v>
      </c>
      <c r="E80">
        <v>1</v>
      </c>
    </row>
    <row r="81" spans="1:5" x14ac:dyDescent="0.2">
      <c r="A81" t="s">
        <v>18</v>
      </c>
      <c r="B81">
        <v>2023</v>
      </c>
      <c r="C81">
        <v>0</v>
      </c>
      <c r="D81">
        <v>0</v>
      </c>
      <c r="E81">
        <v>1</v>
      </c>
    </row>
    <row r="82" spans="1:5" x14ac:dyDescent="0.2">
      <c r="A82" t="s">
        <v>17</v>
      </c>
      <c r="B82">
        <v>2014</v>
      </c>
      <c r="C82">
        <v>1</v>
      </c>
      <c r="D82">
        <v>0</v>
      </c>
      <c r="E82">
        <v>0</v>
      </c>
    </row>
    <row r="83" spans="1:5" x14ac:dyDescent="0.2">
      <c r="A83" t="s">
        <v>17</v>
      </c>
      <c r="B83">
        <v>2015</v>
      </c>
      <c r="C83">
        <v>1</v>
      </c>
      <c r="D83">
        <v>0</v>
      </c>
      <c r="E83">
        <v>0</v>
      </c>
    </row>
    <row r="84" spans="1:5" x14ac:dyDescent="0.2">
      <c r="A84" t="s">
        <v>17</v>
      </c>
      <c r="B84">
        <v>2016</v>
      </c>
      <c r="C84">
        <v>1</v>
      </c>
      <c r="D84">
        <v>0</v>
      </c>
      <c r="E84">
        <v>0</v>
      </c>
    </row>
    <row r="85" spans="1:5" x14ac:dyDescent="0.2">
      <c r="A85" t="s">
        <v>17</v>
      </c>
      <c r="B85">
        <v>2017</v>
      </c>
      <c r="C85">
        <v>1</v>
      </c>
      <c r="D85">
        <v>0</v>
      </c>
      <c r="E85">
        <v>0</v>
      </c>
    </row>
    <row r="86" spans="1:5" x14ac:dyDescent="0.2">
      <c r="A86" t="s">
        <v>17</v>
      </c>
      <c r="B86">
        <v>2018</v>
      </c>
      <c r="C86">
        <v>1</v>
      </c>
      <c r="D86">
        <v>0</v>
      </c>
      <c r="E86">
        <v>0</v>
      </c>
    </row>
    <row r="87" spans="1:5" x14ac:dyDescent="0.2">
      <c r="A87" t="s">
        <v>17</v>
      </c>
      <c r="B87">
        <v>2019</v>
      </c>
      <c r="C87">
        <v>1</v>
      </c>
      <c r="D87">
        <v>0</v>
      </c>
      <c r="E87">
        <v>0</v>
      </c>
    </row>
    <row r="88" spans="1:5" x14ac:dyDescent="0.2">
      <c r="A88" t="s">
        <v>17</v>
      </c>
      <c r="B88">
        <v>2020</v>
      </c>
      <c r="C88">
        <v>1</v>
      </c>
      <c r="D88">
        <v>0</v>
      </c>
      <c r="E88">
        <v>0</v>
      </c>
    </row>
    <row r="89" spans="1:5" x14ac:dyDescent="0.2">
      <c r="A89" t="s">
        <v>17</v>
      </c>
      <c r="B89">
        <v>2021</v>
      </c>
      <c r="C89">
        <v>1</v>
      </c>
      <c r="D89">
        <v>0</v>
      </c>
      <c r="E89">
        <v>0</v>
      </c>
    </row>
    <row r="90" spans="1:5" x14ac:dyDescent="0.2">
      <c r="A90" t="s">
        <v>17</v>
      </c>
      <c r="B90">
        <v>2022</v>
      </c>
      <c r="C90">
        <v>1</v>
      </c>
      <c r="D90">
        <v>0</v>
      </c>
      <c r="E90">
        <v>0</v>
      </c>
    </row>
    <row r="91" spans="1:5" x14ac:dyDescent="0.2">
      <c r="A91" t="s">
        <v>17</v>
      </c>
      <c r="B91">
        <v>2023</v>
      </c>
      <c r="C91">
        <v>1</v>
      </c>
      <c r="D91">
        <v>0</v>
      </c>
      <c r="E91">
        <v>0</v>
      </c>
    </row>
    <row r="92" spans="1:5" x14ac:dyDescent="0.2">
      <c r="A92" t="s">
        <v>16</v>
      </c>
      <c r="B92">
        <v>2014</v>
      </c>
      <c r="C92">
        <v>1</v>
      </c>
      <c r="D92">
        <v>0</v>
      </c>
      <c r="E92">
        <v>0</v>
      </c>
    </row>
    <row r="93" spans="1:5" x14ac:dyDescent="0.2">
      <c r="A93" t="s">
        <v>16</v>
      </c>
      <c r="B93">
        <v>2015</v>
      </c>
      <c r="C93">
        <v>1</v>
      </c>
      <c r="D93">
        <v>0</v>
      </c>
      <c r="E93">
        <v>0</v>
      </c>
    </row>
    <row r="94" spans="1:5" x14ac:dyDescent="0.2">
      <c r="A94" t="s">
        <v>16</v>
      </c>
      <c r="B94">
        <v>2016</v>
      </c>
      <c r="C94">
        <v>1</v>
      </c>
      <c r="D94">
        <v>0</v>
      </c>
      <c r="E94">
        <v>0</v>
      </c>
    </row>
    <row r="95" spans="1:5" x14ac:dyDescent="0.2">
      <c r="A95" t="s">
        <v>16</v>
      </c>
      <c r="B95">
        <v>2017</v>
      </c>
      <c r="C95">
        <v>1</v>
      </c>
      <c r="D95">
        <v>0</v>
      </c>
      <c r="E95">
        <v>0</v>
      </c>
    </row>
    <row r="96" spans="1:5" x14ac:dyDescent="0.2">
      <c r="A96" t="s">
        <v>16</v>
      </c>
      <c r="B96">
        <v>2018</v>
      </c>
      <c r="C96">
        <v>1</v>
      </c>
      <c r="D96">
        <v>0</v>
      </c>
      <c r="E96">
        <v>0</v>
      </c>
    </row>
    <row r="97" spans="1:5" x14ac:dyDescent="0.2">
      <c r="A97" t="s">
        <v>16</v>
      </c>
      <c r="B97">
        <v>2019</v>
      </c>
      <c r="C97">
        <v>1</v>
      </c>
      <c r="D97">
        <v>0</v>
      </c>
      <c r="E97">
        <v>0</v>
      </c>
    </row>
    <row r="98" spans="1:5" x14ac:dyDescent="0.2">
      <c r="A98" t="s">
        <v>16</v>
      </c>
      <c r="B98">
        <v>2020</v>
      </c>
      <c r="C98">
        <v>1</v>
      </c>
      <c r="D98">
        <v>0</v>
      </c>
      <c r="E98">
        <v>0</v>
      </c>
    </row>
    <row r="99" spans="1:5" x14ac:dyDescent="0.2">
      <c r="A99" t="s">
        <v>16</v>
      </c>
      <c r="B99">
        <v>2021</v>
      </c>
      <c r="C99">
        <v>1</v>
      </c>
      <c r="D99">
        <v>0</v>
      </c>
      <c r="E99">
        <v>0</v>
      </c>
    </row>
    <row r="100" spans="1:5" x14ac:dyDescent="0.2">
      <c r="A100" t="s">
        <v>16</v>
      </c>
      <c r="B100">
        <v>2022</v>
      </c>
      <c r="C100">
        <v>1</v>
      </c>
      <c r="D100">
        <v>0</v>
      </c>
      <c r="E100">
        <v>0</v>
      </c>
    </row>
    <row r="101" spans="1:5" x14ac:dyDescent="0.2">
      <c r="A101" t="s">
        <v>16</v>
      </c>
      <c r="B101">
        <v>2023</v>
      </c>
      <c r="C101">
        <v>1</v>
      </c>
      <c r="D101">
        <v>0</v>
      </c>
      <c r="E101">
        <v>0</v>
      </c>
    </row>
    <row r="102" spans="1:5" x14ac:dyDescent="0.2">
      <c r="A102" t="s">
        <v>15</v>
      </c>
      <c r="B102">
        <v>2014</v>
      </c>
      <c r="C102">
        <v>1</v>
      </c>
      <c r="D102">
        <v>0</v>
      </c>
      <c r="E102">
        <v>0</v>
      </c>
    </row>
    <row r="103" spans="1:5" x14ac:dyDescent="0.2">
      <c r="A103" t="s">
        <v>15</v>
      </c>
      <c r="B103">
        <v>2015</v>
      </c>
      <c r="C103">
        <v>1</v>
      </c>
      <c r="D103">
        <v>0</v>
      </c>
      <c r="E103">
        <v>0</v>
      </c>
    </row>
    <row r="104" spans="1:5" x14ac:dyDescent="0.2">
      <c r="A104" t="s">
        <v>15</v>
      </c>
      <c r="B104">
        <v>2016</v>
      </c>
      <c r="C104">
        <v>1</v>
      </c>
      <c r="D104">
        <v>0</v>
      </c>
      <c r="E104">
        <v>0</v>
      </c>
    </row>
    <row r="105" spans="1:5" x14ac:dyDescent="0.2">
      <c r="A105" t="s">
        <v>15</v>
      </c>
      <c r="B105">
        <v>2017</v>
      </c>
      <c r="C105">
        <v>1</v>
      </c>
      <c r="D105">
        <v>0</v>
      </c>
      <c r="E105">
        <v>0</v>
      </c>
    </row>
    <row r="106" spans="1:5" x14ac:dyDescent="0.2">
      <c r="A106" t="s">
        <v>15</v>
      </c>
      <c r="B106">
        <v>2018</v>
      </c>
      <c r="C106">
        <v>1</v>
      </c>
      <c r="D106">
        <v>0</v>
      </c>
      <c r="E106">
        <v>0</v>
      </c>
    </row>
    <row r="107" spans="1:5" x14ac:dyDescent="0.2">
      <c r="A107" t="s">
        <v>15</v>
      </c>
      <c r="B107">
        <v>2019</v>
      </c>
      <c r="C107">
        <v>1</v>
      </c>
      <c r="D107">
        <v>0</v>
      </c>
      <c r="E107">
        <v>0</v>
      </c>
    </row>
    <row r="108" spans="1:5" x14ac:dyDescent="0.2">
      <c r="A108" t="s">
        <v>15</v>
      </c>
      <c r="B108">
        <v>2020</v>
      </c>
      <c r="C108">
        <v>1</v>
      </c>
      <c r="D108">
        <v>0</v>
      </c>
      <c r="E108">
        <v>0</v>
      </c>
    </row>
    <row r="109" spans="1:5" x14ac:dyDescent="0.2">
      <c r="A109" t="s">
        <v>15</v>
      </c>
      <c r="B109">
        <v>2021</v>
      </c>
      <c r="C109">
        <v>1</v>
      </c>
      <c r="D109">
        <v>0</v>
      </c>
      <c r="E109">
        <v>0</v>
      </c>
    </row>
    <row r="110" spans="1:5" x14ac:dyDescent="0.2">
      <c r="A110" t="s">
        <v>15</v>
      </c>
      <c r="B110">
        <v>2022</v>
      </c>
      <c r="C110">
        <v>1</v>
      </c>
      <c r="D110">
        <v>0</v>
      </c>
      <c r="E110">
        <v>0</v>
      </c>
    </row>
    <row r="111" spans="1:5" x14ac:dyDescent="0.2">
      <c r="A111" t="s">
        <v>15</v>
      </c>
      <c r="B111">
        <v>2023</v>
      </c>
      <c r="C111">
        <v>1</v>
      </c>
      <c r="D111">
        <v>0</v>
      </c>
      <c r="E111">
        <v>0</v>
      </c>
    </row>
    <row r="112" spans="1:5" x14ac:dyDescent="0.2">
      <c r="A112" t="s">
        <v>14</v>
      </c>
      <c r="B112">
        <v>2014</v>
      </c>
      <c r="C112">
        <v>1</v>
      </c>
      <c r="D112">
        <v>0</v>
      </c>
      <c r="E112">
        <v>0</v>
      </c>
    </row>
    <row r="113" spans="1:5" x14ac:dyDescent="0.2">
      <c r="A113" t="s">
        <v>14</v>
      </c>
      <c r="B113">
        <v>2015</v>
      </c>
      <c r="C113">
        <v>1</v>
      </c>
      <c r="D113">
        <v>0</v>
      </c>
      <c r="E113">
        <v>0</v>
      </c>
    </row>
    <row r="114" spans="1:5" x14ac:dyDescent="0.2">
      <c r="A114" t="s">
        <v>14</v>
      </c>
      <c r="B114">
        <v>2016</v>
      </c>
      <c r="C114">
        <v>1</v>
      </c>
      <c r="D114">
        <v>0</v>
      </c>
      <c r="E114">
        <v>0</v>
      </c>
    </row>
    <row r="115" spans="1:5" x14ac:dyDescent="0.2">
      <c r="A115" t="s">
        <v>14</v>
      </c>
      <c r="B115">
        <v>2017</v>
      </c>
      <c r="C115">
        <v>1</v>
      </c>
      <c r="D115">
        <v>0</v>
      </c>
      <c r="E115">
        <v>0</v>
      </c>
    </row>
    <row r="116" spans="1:5" x14ac:dyDescent="0.2">
      <c r="A116" t="s">
        <v>14</v>
      </c>
      <c r="B116">
        <v>2018</v>
      </c>
      <c r="C116">
        <v>1</v>
      </c>
      <c r="D116">
        <v>0</v>
      </c>
      <c r="E116">
        <v>0</v>
      </c>
    </row>
    <row r="117" spans="1:5" x14ac:dyDescent="0.2">
      <c r="A117" t="s">
        <v>14</v>
      </c>
      <c r="B117">
        <v>2019</v>
      </c>
      <c r="C117">
        <v>1</v>
      </c>
      <c r="D117">
        <v>0</v>
      </c>
      <c r="E117">
        <v>0</v>
      </c>
    </row>
    <row r="118" spans="1:5" x14ac:dyDescent="0.2">
      <c r="A118" t="s">
        <v>14</v>
      </c>
      <c r="B118">
        <v>2020</v>
      </c>
      <c r="C118">
        <v>1</v>
      </c>
      <c r="D118">
        <v>0</v>
      </c>
      <c r="E118">
        <v>0</v>
      </c>
    </row>
    <row r="119" spans="1:5" x14ac:dyDescent="0.2">
      <c r="A119" t="s">
        <v>14</v>
      </c>
      <c r="B119">
        <v>2021</v>
      </c>
      <c r="C119">
        <v>1</v>
      </c>
      <c r="D119">
        <v>0</v>
      </c>
      <c r="E119">
        <v>0</v>
      </c>
    </row>
    <row r="120" spans="1:5" x14ac:dyDescent="0.2">
      <c r="A120" t="s">
        <v>14</v>
      </c>
      <c r="B120">
        <v>2022</v>
      </c>
      <c r="C120">
        <v>1</v>
      </c>
      <c r="D120">
        <v>0</v>
      </c>
      <c r="E120">
        <v>0</v>
      </c>
    </row>
    <row r="121" spans="1:5" x14ac:dyDescent="0.2">
      <c r="A121" t="s">
        <v>14</v>
      </c>
      <c r="B121">
        <v>2023</v>
      </c>
      <c r="C121">
        <v>1</v>
      </c>
      <c r="D121">
        <v>0</v>
      </c>
      <c r="E121">
        <v>0</v>
      </c>
    </row>
    <row r="122" spans="1:5" x14ac:dyDescent="0.2">
      <c r="A122" t="s">
        <v>13</v>
      </c>
      <c r="B122">
        <v>2014</v>
      </c>
      <c r="C122">
        <v>1</v>
      </c>
      <c r="D122">
        <v>0</v>
      </c>
      <c r="E122">
        <v>0</v>
      </c>
    </row>
    <row r="123" spans="1:5" x14ac:dyDescent="0.2">
      <c r="A123" t="s">
        <v>13</v>
      </c>
      <c r="B123">
        <v>2015</v>
      </c>
      <c r="C123">
        <v>1</v>
      </c>
      <c r="D123">
        <v>0</v>
      </c>
      <c r="E123">
        <v>0</v>
      </c>
    </row>
    <row r="124" spans="1:5" x14ac:dyDescent="0.2">
      <c r="A124" t="s">
        <v>13</v>
      </c>
      <c r="B124">
        <v>2016</v>
      </c>
      <c r="C124">
        <v>1</v>
      </c>
      <c r="D124">
        <v>0</v>
      </c>
      <c r="E124">
        <v>0</v>
      </c>
    </row>
    <row r="125" spans="1:5" x14ac:dyDescent="0.2">
      <c r="A125" t="s">
        <v>13</v>
      </c>
      <c r="B125">
        <v>2017</v>
      </c>
      <c r="C125">
        <v>1</v>
      </c>
      <c r="D125">
        <v>0</v>
      </c>
      <c r="E125">
        <v>0</v>
      </c>
    </row>
    <row r="126" spans="1:5" x14ac:dyDescent="0.2">
      <c r="A126" t="s">
        <v>13</v>
      </c>
      <c r="B126">
        <v>2018</v>
      </c>
      <c r="C126">
        <v>1</v>
      </c>
      <c r="D126">
        <v>0</v>
      </c>
      <c r="E126">
        <v>0</v>
      </c>
    </row>
    <row r="127" spans="1:5" x14ac:dyDescent="0.2">
      <c r="A127" t="s">
        <v>13</v>
      </c>
      <c r="B127">
        <v>2019</v>
      </c>
      <c r="C127">
        <v>1</v>
      </c>
      <c r="D127">
        <v>0</v>
      </c>
      <c r="E127">
        <v>0</v>
      </c>
    </row>
    <row r="128" spans="1:5" x14ac:dyDescent="0.2">
      <c r="A128" t="s">
        <v>13</v>
      </c>
      <c r="B128">
        <v>2020</v>
      </c>
      <c r="C128">
        <v>1</v>
      </c>
      <c r="D128">
        <v>0</v>
      </c>
      <c r="E128">
        <v>0</v>
      </c>
    </row>
    <row r="129" spans="1:5" x14ac:dyDescent="0.2">
      <c r="A129" t="s">
        <v>13</v>
      </c>
      <c r="B129">
        <v>2021</v>
      </c>
      <c r="C129">
        <v>1</v>
      </c>
      <c r="D129">
        <v>0</v>
      </c>
      <c r="E129">
        <v>0</v>
      </c>
    </row>
    <row r="130" spans="1:5" x14ac:dyDescent="0.2">
      <c r="A130" t="s">
        <v>13</v>
      </c>
      <c r="B130">
        <v>2022</v>
      </c>
      <c r="C130">
        <v>1</v>
      </c>
      <c r="D130">
        <v>0</v>
      </c>
      <c r="E130">
        <v>0</v>
      </c>
    </row>
    <row r="131" spans="1:5" x14ac:dyDescent="0.2">
      <c r="A131" t="s">
        <v>13</v>
      </c>
      <c r="B131">
        <v>2023</v>
      </c>
      <c r="C131">
        <v>1</v>
      </c>
      <c r="D131">
        <v>0</v>
      </c>
      <c r="E131">
        <v>0</v>
      </c>
    </row>
    <row r="132" spans="1:5" x14ac:dyDescent="0.2">
      <c r="A132" t="s">
        <v>12</v>
      </c>
      <c r="B132">
        <v>2014</v>
      </c>
      <c r="C132">
        <v>0</v>
      </c>
      <c r="D132">
        <v>1</v>
      </c>
      <c r="E132">
        <v>0</v>
      </c>
    </row>
    <row r="133" spans="1:5" x14ac:dyDescent="0.2">
      <c r="A133" t="s">
        <v>12</v>
      </c>
      <c r="B133">
        <v>2015</v>
      </c>
      <c r="C133">
        <v>0</v>
      </c>
      <c r="D133">
        <v>1</v>
      </c>
      <c r="E133">
        <v>0</v>
      </c>
    </row>
    <row r="134" spans="1:5" x14ac:dyDescent="0.2">
      <c r="A134" t="s">
        <v>12</v>
      </c>
      <c r="B134">
        <v>2016</v>
      </c>
      <c r="C134">
        <v>0</v>
      </c>
      <c r="D134">
        <v>1</v>
      </c>
      <c r="E134">
        <v>0</v>
      </c>
    </row>
    <row r="135" spans="1:5" x14ac:dyDescent="0.2">
      <c r="A135" t="s">
        <v>12</v>
      </c>
      <c r="B135">
        <v>2017</v>
      </c>
      <c r="C135">
        <v>0</v>
      </c>
      <c r="D135">
        <v>1</v>
      </c>
      <c r="E135">
        <v>0</v>
      </c>
    </row>
    <row r="136" spans="1:5" x14ac:dyDescent="0.2">
      <c r="A136" t="s">
        <v>12</v>
      </c>
      <c r="B136">
        <v>2018</v>
      </c>
      <c r="C136">
        <v>0</v>
      </c>
      <c r="D136">
        <v>1</v>
      </c>
      <c r="E136">
        <v>0</v>
      </c>
    </row>
    <row r="137" spans="1:5" x14ac:dyDescent="0.2">
      <c r="A137" t="s">
        <v>12</v>
      </c>
      <c r="B137">
        <v>2019</v>
      </c>
      <c r="C137">
        <v>0</v>
      </c>
      <c r="D137">
        <v>1</v>
      </c>
      <c r="E137">
        <v>0</v>
      </c>
    </row>
    <row r="138" spans="1:5" x14ac:dyDescent="0.2">
      <c r="A138" t="s">
        <v>12</v>
      </c>
      <c r="B138">
        <v>2020</v>
      </c>
      <c r="C138">
        <v>0</v>
      </c>
      <c r="D138">
        <v>1</v>
      </c>
      <c r="E138">
        <v>0</v>
      </c>
    </row>
    <row r="139" spans="1:5" x14ac:dyDescent="0.2">
      <c r="A139" t="s">
        <v>12</v>
      </c>
      <c r="B139">
        <v>2021</v>
      </c>
      <c r="C139">
        <v>0</v>
      </c>
      <c r="D139">
        <v>1</v>
      </c>
      <c r="E139">
        <v>0</v>
      </c>
    </row>
    <row r="140" spans="1:5" x14ac:dyDescent="0.2">
      <c r="A140" t="s">
        <v>12</v>
      </c>
      <c r="B140">
        <v>2022</v>
      </c>
      <c r="C140">
        <v>0</v>
      </c>
      <c r="D140">
        <v>1</v>
      </c>
      <c r="E140">
        <v>0</v>
      </c>
    </row>
    <row r="141" spans="1:5" x14ac:dyDescent="0.2">
      <c r="A141" t="s">
        <v>12</v>
      </c>
      <c r="B141">
        <v>2023</v>
      </c>
      <c r="C141">
        <v>0</v>
      </c>
      <c r="D141">
        <v>1</v>
      </c>
      <c r="E141">
        <v>0</v>
      </c>
    </row>
    <row r="142" spans="1:5" x14ac:dyDescent="0.2">
      <c r="A142" t="s">
        <v>11</v>
      </c>
      <c r="B142">
        <v>2014</v>
      </c>
      <c r="C142">
        <v>0</v>
      </c>
      <c r="D142">
        <v>1</v>
      </c>
      <c r="E142">
        <v>0</v>
      </c>
    </row>
    <row r="143" spans="1:5" x14ac:dyDescent="0.2">
      <c r="A143" t="s">
        <v>11</v>
      </c>
      <c r="B143">
        <v>2015</v>
      </c>
      <c r="C143">
        <v>0</v>
      </c>
      <c r="D143">
        <v>1</v>
      </c>
      <c r="E143">
        <v>0</v>
      </c>
    </row>
    <row r="144" spans="1:5" x14ac:dyDescent="0.2">
      <c r="A144" t="s">
        <v>11</v>
      </c>
      <c r="B144">
        <v>2016</v>
      </c>
      <c r="C144">
        <v>0</v>
      </c>
      <c r="D144">
        <v>1</v>
      </c>
      <c r="E144">
        <v>0</v>
      </c>
    </row>
    <row r="145" spans="1:5" x14ac:dyDescent="0.2">
      <c r="A145" t="s">
        <v>11</v>
      </c>
      <c r="B145">
        <v>2017</v>
      </c>
      <c r="C145">
        <v>0</v>
      </c>
      <c r="D145">
        <v>1</v>
      </c>
      <c r="E145">
        <v>0</v>
      </c>
    </row>
    <row r="146" spans="1:5" x14ac:dyDescent="0.2">
      <c r="A146" t="s">
        <v>11</v>
      </c>
      <c r="B146">
        <v>2018</v>
      </c>
      <c r="C146">
        <v>0</v>
      </c>
      <c r="D146">
        <v>1</v>
      </c>
      <c r="E146">
        <v>0</v>
      </c>
    </row>
    <row r="147" spans="1:5" x14ac:dyDescent="0.2">
      <c r="A147" t="s">
        <v>11</v>
      </c>
      <c r="B147">
        <v>2019</v>
      </c>
      <c r="C147">
        <v>0</v>
      </c>
      <c r="D147">
        <v>1</v>
      </c>
      <c r="E147">
        <v>0</v>
      </c>
    </row>
    <row r="148" spans="1:5" x14ac:dyDescent="0.2">
      <c r="A148" t="s">
        <v>11</v>
      </c>
      <c r="B148">
        <v>2020</v>
      </c>
      <c r="C148">
        <v>0</v>
      </c>
      <c r="D148">
        <v>1</v>
      </c>
      <c r="E148">
        <v>0</v>
      </c>
    </row>
    <row r="149" spans="1:5" x14ac:dyDescent="0.2">
      <c r="A149" t="s">
        <v>11</v>
      </c>
      <c r="B149">
        <v>2021</v>
      </c>
      <c r="C149">
        <v>0</v>
      </c>
      <c r="D149">
        <v>1</v>
      </c>
      <c r="E149">
        <v>0</v>
      </c>
    </row>
    <row r="150" spans="1:5" x14ac:dyDescent="0.2">
      <c r="A150" t="s">
        <v>11</v>
      </c>
      <c r="B150">
        <v>2022</v>
      </c>
      <c r="C150">
        <v>0</v>
      </c>
      <c r="D150">
        <v>1</v>
      </c>
      <c r="E150">
        <v>0</v>
      </c>
    </row>
    <row r="151" spans="1:5" x14ac:dyDescent="0.2">
      <c r="A151" t="s">
        <v>11</v>
      </c>
      <c r="B151">
        <v>2023</v>
      </c>
      <c r="C151">
        <v>0</v>
      </c>
      <c r="D151">
        <v>1</v>
      </c>
      <c r="E151">
        <v>0</v>
      </c>
    </row>
    <row r="152" spans="1:5" x14ac:dyDescent="0.2">
      <c r="A152" t="s">
        <v>10</v>
      </c>
      <c r="B152">
        <v>2014</v>
      </c>
      <c r="C152">
        <v>0</v>
      </c>
      <c r="D152">
        <v>0</v>
      </c>
      <c r="E152">
        <v>1</v>
      </c>
    </row>
    <row r="153" spans="1:5" x14ac:dyDescent="0.2">
      <c r="A153" t="s">
        <v>10</v>
      </c>
      <c r="B153">
        <v>2015</v>
      </c>
      <c r="C153">
        <v>0</v>
      </c>
      <c r="D153">
        <v>0</v>
      </c>
      <c r="E153">
        <v>1</v>
      </c>
    </row>
    <row r="154" spans="1:5" x14ac:dyDescent="0.2">
      <c r="A154" t="s">
        <v>10</v>
      </c>
      <c r="B154">
        <v>2016</v>
      </c>
      <c r="C154">
        <v>0</v>
      </c>
      <c r="D154">
        <v>0</v>
      </c>
      <c r="E154">
        <v>1</v>
      </c>
    </row>
    <row r="155" spans="1:5" x14ac:dyDescent="0.2">
      <c r="A155" t="s">
        <v>10</v>
      </c>
      <c r="B155">
        <v>2017</v>
      </c>
      <c r="C155">
        <v>0</v>
      </c>
      <c r="D155">
        <v>0</v>
      </c>
      <c r="E155">
        <v>1</v>
      </c>
    </row>
    <row r="156" spans="1:5" x14ac:dyDescent="0.2">
      <c r="A156" t="s">
        <v>10</v>
      </c>
      <c r="B156">
        <v>2018</v>
      </c>
      <c r="C156">
        <v>0</v>
      </c>
      <c r="D156">
        <v>0</v>
      </c>
      <c r="E156">
        <v>1</v>
      </c>
    </row>
    <row r="157" spans="1:5" x14ac:dyDescent="0.2">
      <c r="A157" t="s">
        <v>10</v>
      </c>
      <c r="B157">
        <v>2019</v>
      </c>
      <c r="C157">
        <v>0</v>
      </c>
      <c r="D157">
        <v>0</v>
      </c>
      <c r="E157">
        <v>1</v>
      </c>
    </row>
    <row r="158" spans="1:5" x14ac:dyDescent="0.2">
      <c r="A158" t="s">
        <v>10</v>
      </c>
      <c r="B158">
        <v>2020</v>
      </c>
      <c r="C158">
        <v>0</v>
      </c>
      <c r="D158">
        <v>0</v>
      </c>
      <c r="E158">
        <v>1</v>
      </c>
    </row>
    <row r="159" spans="1:5" x14ac:dyDescent="0.2">
      <c r="A159" t="s">
        <v>10</v>
      </c>
      <c r="B159">
        <v>2021</v>
      </c>
      <c r="C159">
        <v>0</v>
      </c>
      <c r="D159">
        <v>0</v>
      </c>
      <c r="E159">
        <v>1</v>
      </c>
    </row>
    <row r="160" spans="1:5" x14ac:dyDescent="0.2">
      <c r="A160" t="s">
        <v>10</v>
      </c>
      <c r="B160">
        <v>2022</v>
      </c>
      <c r="C160">
        <v>0</v>
      </c>
      <c r="D160">
        <v>0</v>
      </c>
      <c r="E160">
        <v>1</v>
      </c>
    </row>
    <row r="161" spans="1:5" x14ac:dyDescent="0.2">
      <c r="A161" t="s">
        <v>10</v>
      </c>
      <c r="B161">
        <v>2023</v>
      </c>
      <c r="C161">
        <v>0</v>
      </c>
      <c r="D161">
        <v>0</v>
      </c>
      <c r="E161">
        <v>1</v>
      </c>
    </row>
    <row r="162" spans="1:5" x14ac:dyDescent="0.2">
      <c r="A162" t="s">
        <v>9</v>
      </c>
      <c r="B162">
        <v>2014</v>
      </c>
      <c r="C162">
        <v>1</v>
      </c>
      <c r="D162">
        <v>0</v>
      </c>
      <c r="E162">
        <v>0</v>
      </c>
    </row>
    <row r="163" spans="1:5" x14ac:dyDescent="0.2">
      <c r="A163" t="s">
        <v>9</v>
      </c>
      <c r="B163">
        <v>2015</v>
      </c>
      <c r="C163">
        <v>1</v>
      </c>
      <c r="D163">
        <v>0</v>
      </c>
      <c r="E163">
        <v>0</v>
      </c>
    </row>
    <row r="164" spans="1:5" x14ac:dyDescent="0.2">
      <c r="A164" t="s">
        <v>9</v>
      </c>
      <c r="B164">
        <v>2016</v>
      </c>
      <c r="C164">
        <v>1</v>
      </c>
      <c r="D164">
        <v>0</v>
      </c>
      <c r="E164">
        <v>0</v>
      </c>
    </row>
    <row r="165" spans="1:5" x14ac:dyDescent="0.2">
      <c r="A165" t="s">
        <v>9</v>
      </c>
      <c r="B165">
        <v>2017</v>
      </c>
      <c r="C165">
        <v>1</v>
      </c>
      <c r="D165">
        <v>0</v>
      </c>
      <c r="E165">
        <v>0</v>
      </c>
    </row>
    <row r="166" spans="1:5" x14ac:dyDescent="0.2">
      <c r="A166" t="s">
        <v>9</v>
      </c>
      <c r="B166">
        <v>2018</v>
      </c>
      <c r="C166">
        <v>1</v>
      </c>
      <c r="D166">
        <v>0</v>
      </c>
      <c r="E166">
        <v>0</v>
      </c>
    </row>
    <row r="167" spans="1:5" x14ac:dyDescent="0.2">
      <c r="A167" t="s">
        <v>9</v>
      </c>
      <c r="B167">
        <v>2019</v>
      </c>
      <c r="C167">
        <v>1</v>
      </c>
      <c r="D167">
        <v>0</v>
      </c>
      <c r="E167">
        <v>0</v>
      </c>
    </row>
    <row r="168" spans="1:5" x14ac:dyDescent="0.2">
      <c r="A168" t="s">
        <v>9</v>
      </c>
      <c r="B168">
        <v>2020</v>
      </c>
      <c r="C168">
        <v>1</v>
      </c>
      <c r="D168">
        <v>0</v>
      </c>
      <c r="E168">
        <v>0</v>
      </c>
    </row>
    <row r="169" spans="1:5" x14ac:dyDescent="0.2">
      <c r="A169" t="s">
        <v>9</v>
      </c>
      <c r="B169">
        <v>2021</v>
      </c>
      <c r="C169">
        <v>1</v>
      </c>
      <c r="D169">
        <v>0</v>
      </c>
      <c r="E169">
        <v>0</v>
      </c>
    </row>
    <row r="170" spans="1:5" x14ac:dyDescent="0.2">
      <c r="A170" t="s">
        <v>9</v>
      </c>
      <c r="B170">
        <v>2022</v>
      </c>
      <c r="C170">
        <v>1</v>
      </c>
      <c r="D170">
        <v>0</v>
      </c>
      <c r="E170">
        <v>0</v>
      </c>
    </row>
    <row r="171" spans="1:5" x14ac:dyDescent="0.2">
      <c r="A171" t="s">
        <v>9</v>
      </c>
      <c r="B171">
        <v>2023</v>
      </c>
      <c r="C171">
        <v>1</v>
      </c>
      <c r="D171">
        <v>0</v>
      </c>
      <c r="E171">
        <v>0</v>
      </c>
    </row>
    <row r="172" spans="1:5" x14ac:dyDescent="0.2">
      <c r="A172" t="s">
        <v>8</v>
      </c>
      <c r="B172">
        <v>2014</v>
      </c>
      <c r="C172">
        <v>1</v>
      </c>
      <c r="D172">
        <v>0</v>
      </c>
      <c r="E172">
        <v>0</v>
      </c>
    </row>
    <row r="173" spans="1:5" x14ac:dyDescent="0.2">
      <c r="A173" t="s">
        <v>8</v>
      </c>
      <c r="B173">
        <v>2015</v>
      </c>
      <c r="C173">
        <v>1</v>
      </c>
      <c r="D173">
        <v>0</v>
      </c>
      <c r="E173">
        <v>0</v>
      </c>
    </row>
    <row r="174" spans="1:5" x14ac:dyDescent="0.2">
      <c r="A174" t="s">
        <v>8</v>
      </c>
      <c r="B174">
        <v>2016</v>
      </c>
      <c r="C174">
        <v>1</v>
      </c>
      <c r="D174">
        <v>0</v>
      </c>
      <c r="E174">
        <v>0</v>
      </c>
    </row>
    <row r="175" spans="1:5" x14ac:dyDescent="0.2">
      <c r="A175" t="s">
        <v>8</v>
      </c>
      <c r="B175">
        <v>2017</v>
      </c>
      <c r="C175">
        <v>1</v>
      </c>
      <c r="D175">
        <v>0</v>
      </c>
      <c r="E175">
        <v>0</v>
      </c>
    </row>
    <row r="176" spans="1:5" x14ac:dyDescent="0.2">
      <c r="A176" t="s">
        <v>8</v>
      </c>
      <c r="B176">
        <v>2018</v>
      </c>
      <c r="C176">
        <v>1</v>
      </c>
      <c r="D176">
        <v>0</v>
      </c>
      <c r="E176">
        <v>0</v>
      </c>
    </row>
    <row r="177" spans="1:5" x14ac:dyDescent="0.2">
      <c r="A177" t="s">
        <v>8</v>
      </c>
      <c r="B177">
        <v>2019</v>
      </c>
      <c r="C177">
        <v>1</v>
      </c>
      <c r="D177">
        <v>0</v>
      </c>
      <c r="E177">
        <v>0</v>
      </c>
    </row>
    <row r="178" spans="1:5" x14ac:dyDescent="0.2">
      <c r="A178" t="s">
        <v>8</v>
      </c>
      <c r="B178">
        <v>2020</v>
      </c>
      <c r="C178">
        <v>1</v>
      </c>
      <c r="D178">
        <v>0</v>
      </c>
      <c r="E178">
        <v>0</v>
      </c>
    </row>
    <row r="179" spans="1:5" x14ac:dyDescent="0.2">
      <c r="A179" t="s">
        <v>8</v>
      </c>
      <c r="B179">
        <v>2021</v>
      </c>
      <c r="C179">
        <v>1</v>
      </c>
      <c r="D179">
        <v>0</v>
      </c>
      <c r="E179">
        <v>0</v>
      </c>
    </row>
    <row r="180" spans="1:5" x14ac:dyDescent="0.2">
      <c r="A180" t="s">
        <v>8</v>
      </c>
      <c r="B180">
        <v>2022</v>
      </c>
      <c r="C180">
        <v>1</v>
      </c>
      <c r="D180">
        <v>0</v>
      </c>
      <c r="E180">
        <v>0</v>
      </c>
    </row>
    <row r="181" spans="1:5" x14ac:dyDescent="0.2">
      <c r="A181" t="s">
        <v>8</v>
      </c>
      <c r="B181">
        <v>2023</v>
      </c>
      <c r="C181">
        <v>1</v>
      </c>
      <c r="D181">
        <v>0</v>
      </c>
      <c r="E181">
        <v>0</v>
      </c>
    </row>
    <row r="182" spans="1:5" x14ac:dyDescent="0.2">
      <c r="A182" t="s">
        <v>7</v>
      </c>
      <c r="B182">
        <v>2014</v>
      </c>
      <c r="C182">
        <v>0</v>
      </c>
      <c r="D182">
        <v>1</v>
      </c>
      <c r="E182">
        <v>0</v>
      </c>
    </row>
    <row r="183" spans="1:5" x14ac:dyDescent="0.2">
      <c r="A183" t="s">
        <v>7</v>
      </c>
      <c r="B183">
        <v>2015</v>
      </c>
      <c r="C183">
        <v>0</v>
      </c>
      <c r="D183">
        <v>1</v>
      </c>
      <c r="E183">
        <v>0</v>
      </c>
    </row>
    <row r="184" spans="1:5" x14ac:dyDescent="0.2">
      <c r="A184" t="s">
        <v>7</v>
      </c>
      <c r="B184">
        <v>2016</v>
      </c>
      <c r="C184">
        <v>0</v>
      </c>
      <c r="D184">
        <v>1</v>
      </c>
      <c r="E184">
        <v>0</v>
      </c>
    </row>
    <row r="185" spans="1:5" x14ac:dyDescent="0.2">
      <c r="A185" t="s">
        <v>7</v>
      </c>
      <c r="B185">
        <v>2017</v>
      </c>
      <c r="C185">
        <v>0</v>
      </c>
      <c r="D185">
        <v>1</v>
      </c>
      <c r="E185">
        <v>0</v>
      </c>
    </row>
    <row r="186" spans="1:5" x14ac:dyDescent="0.2">
      <c r="A186" t="s">
        <v>7</v>
      </c>
      <c r="B186">
        <v>2018</v>
      </c>
      <c r="C186">
        <v>0</v>
      </c>
      <c r="D186">
        <v>1</v>
      </c>
      <c r="E186">
        <v>0</v>
      </c>
    </row>
    <row r="187" spans="1:5" x14ac:dyDescent="0.2">
      <c r="A187" t="s">
        <v>7</v>
      </c>
      <c r="B187">
        <v>2019</v>
      </c>
      <c r="C187">
        <v>0</v>
      </c>
      <c r="D187">
        <v>1</v>
      </c>
      <c r="E187">
        <v>0</v>
      </c>
    </row>
    <row r="188" spans="1:5" x14ac:dyDescent="0.2">
      <c r="A188" t="s">
        <v>7</v>
      </c>
      <c r="B188">
        <v>2020</v>
      </c>
      <c r="C188">
        <v>0</v>
      </c>
      <c r="D188">
        <v>1</v>
      </c>
      <c r="E188">
        <v>0</v>
      </c>
    </row>
    <row r="189" spans="1:5" x14ac:dyDescent="0.2">
      <c r="A189" t="s">
        <v>7</v>
      </c>
      <c r="B189">
        <v>2021</v>
      </c>
      <c r="C189">
        <v>0</v>
      </c>
      <c r="D189">
        <v>1</v>
      </c>
      <c r="E189">
        <v>0</v>
      </c>
    </row>
    <row r="190" spans="1:5" x14ac:dyDescent="0.2">
      <c r="A190" t="s">
        <v>7</v>
      </c>
      <c r="B190">
        <v>2022</v>
      </c>
      <c r="C190">
        <v>0</v>
      </c>
      <c r="D190">
        <v>1</v>
      </c>
      <c r="E190">
        <v>0</v>
      </c>
    </row>
    <row r="191" spans="1:5" x14ac:dyDescent="0.2">
      <c r="A191" t="s">
        <v>7</v>
      </c>
      <c r="B191">
        <v>2023</v>
      </c>
      <c r="C191">
        <v>0</v>
      </c>
      <c r="D191">
        <v>1</v>
      </c>
      <c r="E191">
        <v>0</v>
      </c>
    </row>
    <row r="192" spans="1:5" x14ac:dyDescent="0.2">
      <c r="A192" t="s">
        <v>6</v>
      </c>
      <c r="B192">
        <v>2014</v>
      </c>
      <c r="C192">
        <v>1</v>
      </c>
      <c r="D192">
        <v>0</v>
      </c>
      <c r="E192">
        <v>0</v>
      </c>
    </row>
    <row r="193" spans="1:5" x14ac:dyDescent="0.2">
      <c r="A193" t="s">
        <v>6</v>
      </c>
      <c r="B193">
        <v>2015</v>
      </c>
      <c r="C193">
        <v>1</v>
      </c>
      <c r="D193">
        <v>0</v>
      </c>
      <c r="E193">
        <v>0</v>
      </c>
    </row>
    <row r="194" spans="1:5" x14ac:dyDescent="0.2">
      <c r="A194" t="s">
        <v>6</v>
      </c>
      <c r="B194">
        <v>2016</v>
      </c>
      <c r="C194">
        <v>1</v>
      </c>
      <c r="D194">
        <v>0</v>
      </c>
      <c r="E194">
        <v>0</v>
      </c>
    </row>
    <row r="195" spans="1:5" x14ac:dyDescent="0.2">
      <c r="A195" t="s">
        <v>6</v>
      </c>
      <c r="B195">
        <v>2017</v>
      </c>
      <c r="C195">
        <v>1</v>
      </c>
      <c r="D195">
        <v>0</v>
      </c>
      <c r="E195">
        <v>0</v>
      </c>
    </row>
    <row r="196" spans="1:5" x14ac:dyDescent="0.2">
      <c r="A196" t="s">
        <v>6</v>
      </c>
      <c r="B196">
        <v>2018</v>
      </c>
      <c r="C196">
        <v>1</v>
      </c>
      <c r="D196">
        <v>0</v>
      </c>
      <c r="E196">
        <v>0</v>
      </c>
    </row>
    <row r="197" spans="1:5" x14ac:dyDescent="0.2">
      <c r="A197" t="s">
        <v>6</v>
      </c>
      <c r="B197">
        <v>2019</v>
      </c>
      <c r="C197">
        <v>1</v>
      </c>
      <c r="D197">
        <v>0</v>
      </c>
      <c r="E197">
        <v>0</v>
      </c>
    </row>
    <row r="198" spans="1:5" x14ac:dyDescent="0.2">
      <c r="A198" t="s">
        <v>6</v>
      </c>
      <c r="B198">
        <v>2020</v>
      </c>
      <c r="C198">
        <v>1</v>
      </c>
      <c r="D198">
        <v>0</v>
      </c>
      <c r="E198">
        <v>0</v>
      </c>
    </row>
    <row r="199" spans="1:5" x14ac:dyDescent="0.2">
      <c r="A199" t="s">
        <v>6</v>
      </c>
      <c r="B199">
        <v>2021</v>
      </c>
      <c r="C199">
        <v>1</v>
      </c>
      <c r="D199">
        <v>0</v>
      </c>
      <c r="E199">
        <v>0</v>
      </c>
    </row>
    <row r="200" spans="1:5" x14ac:dyDescent="0.2">
      <c r="A200" t="s">
        <v>6</v>
      </c>
      <c r="B200">
        <v>2022</v>
      </c>
      <c r="C200">
        <v>1</v>
      </c>
      <c r="D200">
        <v>0</v>
      </c>
      <c r="E200">
        <v>0</v>
      </c>
    </row>
    <row r="201" spans="1:5" x14ac:dyDescent="0.2">
      <c r="A201" t="s">
        <v>6</v>
      </c>
      <c r="B201">
        <v>2023</v>
      </c>
      <c r="C201">
        <v>1</v>
      </c>
      <c r="D201">
        <v>0</v>
      </c>
      <c r="E201">
        <v>0</v>
      </c>
    </row>
    <row r="202" spans="1:5" x14ac:dyDescent="0.2">
      <c r="A202" t="s">
        <v>5</v>
      </c>
      <c r="B202">
        <v>2014</v>
      </c>
      <c r="C202">
        <v>1</v>
      </c>
      <c r="D202">
        <v>0</v>
      </c>
      <c r="E202">
        <v>0</v>
      </c>
    </row>
    <row r="203" spans="1:5" x14ac:dyDescent="0.2">
      <c r="A203" t="s">
        <v>5</v>
      </c>
      <c r="B203">
        <v>2015</v>
      </c>
      <c r="C203">
        <v>1</v>
      </c>
      <c r="D203">
        <v>0</v>
      </c>
      <c r="E203">
        <v>0</v>
      </c>
    </row>
    <row r="204" spans="1:5" x14ac:dyDescent="0.2">
      <c r="A204" t="s">
        <v>5</v>
      </c>
      <c r="B204">
        <v>2016</v>
      </c>
      <c r="C204">
        <v>1</v>
      </c>
      <c r="D204">
        <v>0</v>
      </c>
      <c r="E204">
        <v>0</v>
      </c>
    </row>
    <row r="205" spans="1:5" x14ac:dyDescent="0.2">
      <c r="A205" t="s">
        <v>5</v>
      </c>
      <c r="B205">
        <v>2017</v>
      </c>
      <c r="C205">
        <v>1</v>
      </c>
      <c r="D205">
        <v>0</v>
      </c>
      <c r="E205">
        <v>0</v>
      </c>
    </row>
    <row r="206" spans="1:5" x14ac:dyDescent="0.2">
      <c r="A206" t="s">
        <v>5</v>
      </c>
      <c r="B206">
        <v>2018</v>
      </c>
      <c r="C206">
        <v>1</v>
      </c>
      <c r="D206">
        <v>0</v>
      </c>
      <c r="E206">
        <v>0</v>
      </c>
    </row>
    <row r="207" spans="1:5" x14ac:dyDescent="0.2">
      <c r="A207" t="s">
        <v>5</v>
      </c>
      <c r="B207">
        <v>2019</v>
      </c>
      <c r="C207">
        <v>1</v>
      </c>
      <c r="D207">
        <v>0</v>
      </c>
      <c r="E207">
        <v>0</v>
      </c>
    </row>
    <row r="208" spans="1:5" x14ac:dyDescent="0.2">
      <c r="A208" t="s">
        <v>5</v>
      </c>
      <c r="B208">
        <v>2020</v>
      </c>
      <c r="C208">
        <v>1</v>
      </c>
      <c r="D208">
        <v>0</v>
      </c>
      <c r="E208">
        <v>0</v>
      </c>
    </row>
    <row r="209" spans="1:5" x14ac:dyDescent="0.2">
      <c r="A209" t="s">
        <v>5</v>
      </c>
      <c r="B209">
        <v>2021</v>
      </c>
      <c r="C209">
        <v>1</v>
      </c>
      <c r="D209">
        <v>0</v>
      </c>
      <c r="E209">
        <v>0</v>
      </c>
    </row>
    <row r="210" spans="1:5" x14ac:dyDescent="0.2">
      <c r="A210" t="s">
        <v>5</v>
      </c>
      <c r="B210">
        <v>2022</v>
      </c>
      <c r="C210">
        <v>1</v>
      </c>
      <c r="D210">
        <v>0</v>
      </c>
      <c r="E210">
        <v>0</v>
      </c>
    </row>
    <row r="211" spans="1:5" x14ac:dyDescent="0.2">
      <c r="A211" t="s">
        <v>5</v>
      </c>
      <c r="B211">
        <v>2023</v>
      </c>
      <c r="C211">
        <v>1</v>
      </c>
      <c r="D211">
        <v>0</v>
      </c>
      <c r="E211">
        <v>0</v>
      </c>
    </row>
    <row r="212" spans="1:5" x14ac:dyDescent="0.2">
      <c r="A212" t="s">
        <v>4</v>
      </c>
      <c r="B212">
        <v>2014</v>
      </c>
      <c r="C212">
        <v>1</v>
      </c>
      <c r="D212">
        <v>0</v>
      </c>
      <c r="E212">
        <v>0</v>
      </c>
    </row>
    <row r="213" spans="1:5" x14ac:dyDescent="0.2">
      <c r="A213" t="s">
        <v>4</v>
      </c>
      <c r="B213">
        <v>2015</v>
      </c>
      <c r="C213">
        <v>1</v>
      </c>
      <c r="D213">
        <v>0</v>
      </c>
      <c r="E213">
        <v>0</v>
      </c>
    </row>
    <row r="214" spans="1:5" x14ac:dyDescent="0.2">
      <c r="A214" t="s">
        <v>4</v>
      </c>
      <c r="B214">
        <v>2016</v>
      </c>
      <c r="C214">
        <v>1</v>
      </c>
      <c r="D214">
        <v>0</v>
      </c>
      <c r="E214">
        <v>0</v>
      </c>
    </row>
    <row r="215" spans="1:5" x14ac:dyDescent="0.2">
      <c r="A215" t="s">
        <v>4</v>
      </c>
      <c r="B215">
        <v>2017</v>
      </c>
      <c r="C215">
        <v>1</v>
      </c>
      <c r="D215">
        <v>0</v>
      </c>
      <c r="E215">
        <v>0</v>
      </c>
    </row>
    <row r="216" spans="1:5" x14ac:dyDescent="0.2">
      <c r="A216" t="s">
        <v>4</v>
      </c>
      <c r="B216">
        <v>2018</v>
      </c>
      <c r="C216">
        <v>1</v>
      </c>
      <c r="D216">
        <v>0</v>
      </c>
      <c r="E216">
        <v>0</v>
      </c>
    </row>
    <row r="217" spans="1:5" x14ac:dyDescent="0.2">
      <c r="A217" t="s">
        <v>4</v>
      </c>
      <c r="B217">
        <v>2019</v>
      </c>
      <c r="C217">
        <v>1</v>
      </c>
      <c r="D217">
        <v>0</v>
      </c>
      <c r="E217">
        <v>0</v>
      </c>
    </row>
    <row r="218" spans="1:5" x14ac:dyDescent="0.2">
      <c r="A218" t="s">
        <v>4</v>
      </c>
      <c r="B218">
        <v>2020</v>
      </c>
      <c r="C218">
        <v>1</v>
      </c>
      <c r="D218">
        <v>0</v>
      </c>
      <c r="E218">
        <v>0</v>
      </c>
    </row>
    <row r="219" spans="1:5" x14ac:dyDescent="0.2">
      <c r="A219" t="s">
        <v>4</v>
      </c>
      <c r="B219">
        <v>2021</v>
      </c>
      <c r="C219">
        <v>1</v>
      </c>
      <c r="D219">
        <v>0</v>
      </c>
      <c r="E219">
        <v>0</v>
      </c>
    </row>
    <row r="220" spans="1:5" x14ac:dyDescent="0.2">
      <c r="A220" t="s">
        <v>4</v>
      </c>
      <c r="B220">
        <v>2022</v>
      </c>
      <c r="C220">
        <v>1</v>
      </c>
      <c r="D220">
        <v>0</v>
      </c>
      <c r="E220">
        <v>0</v>
      </c>
    </row>
    <row r="221" spans="1:5" x14ac:dyDescent="0.2">
      <c r="A221" t="s">
        <v>4</v>
      </c>
      <c r="B221">
        <v>2023</v>
      </c>
      <c r="C221">
        <v>1</v>
      </c>
      <c r="D221">
        <v>0</v>
      </c>
      <c r="E221">
        <v>0</v>
      </c>
    </row>
    <row r="222" spans="1:5" x14ac:dyDescent="0.2">
      <c r="A222" t="s">
        <v>3</v>
      </c>
      <c r="B222">
        <v>2014</v>
      </c>
      <c r="C222">
        <v>0</v>
      </c>
      <c r="D222">
        <v>0</v>
      </c>
      <c r="E222">
        <v>1</v>
      </c>
    </row>
    <row r="223" spans="1:5" x14ac:dyDescent="0.2">
      <c r="A223" t="s">
        <v>3</v>
      </c>
      <c r="B223">
        <v>2015</v>
      </c>
      <c r="C223">
        <v>0</v>
      </c>
      <c r="D223">
        <v>0</v>
      </c>
      <c r="E223">
        <v>1</v>
      </c>
    </row>
    <row r="224" spans="1:5" x14ac:dyDescent="0.2">
      <c r="A224" t="s">
        <v>3</v>
      </c>
      <c r="B224">
        <v>2016</v>
      </c>
      <c r="C224">
        <v>0</v>
      </c>
      <c r="D224">
        <v>0</v>
      </c>
      <c r="E224">
        <v>1</v>
      </c>
    </row>
    <row r="225" spans="1:5" x14ac:dyDescent="0.2">
      <c r="A225" t="s">
        <v>3</v>
      </c>
      <c r="B225">
        <v>2017</v>
      </c>
      <c r="C225">
        <v>0</v>
      </c>
      <c r="D225">
        <v>0</v>
      </c>
      <c r="E225">
        <v>1</v>
      </c>
    </row>
    <row r="226" spans="1:5" x14ac:dyDescent="0.2">
      <c r="A226" t="s">
        <v>3</v>
      </c>
      <c r="B226">
        <v>2018</v>
      </c>
      <c r="C226">
        <v>0</v>
      </c>
      <c r="D226">
        <v>0</v>
      </c>
      <c r="E226">
        <v>1</v>
      </c>
    </row>
    <row r="227" spans="1:5" x14ac:dyDescent="0.2">
      <c r="A227" t="s">
        <v>3</v>
      </c>
      <c r="B227">
        <v>2019</v>
      </c>
      <c r="C227">
        <v>0</v>
      </c>
      <c r="D227">
        <v>0</v>
      </c>
      <c r="E227">
        <v>1</v>
      </c>
    </row>
    <row r="228" spans="1:5" x14ac:dyDescent="0.2">
      <c r="A228" t="s">
        <v>3</v>
      </c>
      <c r="B228">
        <v>2020</v>
      </c>
      <c r="C228">
        <v>0</v>
      </c>
      <c r="D228">
        <v>0</v>
      </c>
      <c r="E228">
        <v>1</v>
      </c>
    </row>
    <row r="229" spans="1:5" x14ac:dyDescent="0.2">
      <c r="A229" t="s">
        <v>3</v>
      </c>
      <c r="B229">
        <v>2021</v>
      </c>
      <c r="C229">
        <v>0</v>
      </c>
      <c r="D229">
        <v>0</v>
      </c>
      <c r="E229">
        <v>1</v>
      </c>
    </row>
    <row r="230" spans="1:5" x14ac:dyDescent="0.2">
      <c r="A230" t="s">
        <v>3</v>
      </c>
      <c r="B230">
        <v>2022</v>
      </c>
      <c r="C230">
        <v>0</v>
      </c>
      <c r="D230">
        <v>0</v>
      </c>
      <c r="E230">
        <v>1</v>
      </c>
    </row>
    <row r="231" spans="1:5" x14ac:dyDescent="0.2">
      <c r="A231" t="s">
        <v>3</v>
      </c>
      <c r="B231">
        <v>2023</v>
      </c>
      <c r="C231">
        <v>0</v>
      </c>
      <c r="D231">
        <v>0</v>
      </c>
      <c r="E231">
        <v>1</v>
      </c>
    </row>
    <row r="232" spans="1:5" x14ac:dyDescent="0.2">
      <c r="A232" t="s">
        <v>2</v>
      </c>
      <c r="B232">
        <v>2014</v>
      </c>
      <c r="C232">
        <v>1</v>
      </c>
      <c r="D232">
        <v>0</v>
      </c>
      <c r="E232">
        <v>0</v>
      </c>
    </row>
    <row r="233" spans="1:5" x14ac:dyDescent="0.2">
      <c r="A233" t="s">
        <v>2</v>
      </c>
      <c r="B233">
        <v>2015</v>
      </c>
      <c r="C233">
        <v>1</v>
      </c>
      <c r="D233">
        <v>0</v>
      </c>
      <c r="E233">
        <v>0</v>
      </c>
    </row>
    <row r="234" spans="1:5" x14ac:dyDescent="0.2">
      <c r="A234" t="s">
        <v>2</v>
      </c>
      <c r="B234">
        <v>2016</v>
      </c>
      <c r="C234">
        <v>1</v>
      </c>
      <c r="D234">
        <v>0</v>
      </c>
      <c r="E234">
        <v>0</v>
      </c>
    </row>
    <row r="235" spans="1:5" x14ac:dyDescent="0.2">
      <c r="A235" t="s">
        <v>2</v>
      </c>
      <c r="B235">
        <v>2017</v>
      </c>
      <c r="C235">
        <v>1</v>
      </c>
      <c r="D235">
        <v>0</v>
      </c>
      <c r="E235">
        <v>0</v>
      </c>
    </row>
    <row r="236" spans="1:5" x14ac:dyDescent="0.2">
      <c r="A236" t="s">
        <v>2</v>
      </c>
      <c r="B236">
        <v>2018</v>
      </c>
      <c r="C236">
        <v>1</v>
      </c>
      <c r="D236">
        <v>0</v>
      </c>
      <c r="E236">
        <v>0</v>
      </c>
    </row>
    <row r="237" spans="1:5" x14ac:dyDescent="0.2">
      <c r="A237" t="s">
        <v>2</v>
      </c>
      <c r="B237">
        <v>2019</v>
      </c>
      <c r="C237">
        <v>1</v>
      </c>
      <c r="D237">
        <v>0</v>
      </c>
      <c r="E237">
        <v>0</v>
      </c>
    </row>
    <row r="238" spans="1:5" x14ac:dyDescent="0.2">
      <c r="A238" t="s">
        <v>2</v>
      </c>
      <c r="B238">
        <v>2020</v>
      </c>
      <c r="C238">
        <v>1</v>
      </c>
      <c r="D238">
        <v>0</v>
      </c>
      <c r="E238">
        <v>0</v>
      </c>
    </row>
    <row r="239" spans="1:5" x14ac:dyDescent="0.2">
      <c r="A239" t="s">
        <v>2</v>
      </c>
      <c r="B239">
        <v>2021</v>
      </c>
      <c r="C239">
        <v>1</v>
      </c>
      <c r="D239">
        <v>0</v>
      </c>
      <c r="E239">
        <v>0</v>
      </c>
    </row>
    <row r="240" spans="1:5" x14ac:dyDescent="0.2">
      <c r="A240" t="s">
        <v>2</v>
      </c>
      <c r="B240">
        <v>2022</v>
      </c>
      <c r="C240">
        <v>1</v>
      </c>
      <c r="D240">
        <v>0</v>
      </c>
      <c r="E240">
        <v>0</v>
      </c>
    </row>
    <row r="241" spans="1:5" x14ac:dyDescent="0.2">
      <c r="A241" t="s">
        <v>2</v>
      </c>
      <c r="B241">
        <v>2023</v>
      </c>
      <c r="C241">
        <v>1</v>
      </c>
      <c r="D241">
        <v>0</v>
      </c>
      <c r="E241">
        <v>0</v>
      </c>
    </row>
    <row r="242" spans="1:5" x14ac:dyDescent="0.2">
      <c r="A242" t="s">
        <v>1</v>
      </c>
      <c r="B242">
        <v>2014</v>
      </c>
      <c r="C242">
        <v>0</v>
      </c>
      <c r="D242">
        <v>1</v>
      </c>
      <c r="E242">
        <v>0</v>
      </c>
    </row>
    <row r="243" spans="1:5" x14ac:dyDescent="0.2">
      <c r="A243" t="s">
        <v>1</v>
      </c>
      <c r="B243">
        <v>2015</v>
      </c>
      <c r="C243">
        <v>0</v>
      </c>
      <c r="D243">
        <v>1</v>
      </c>
      <c r="E243">
        <v>0</v>
      </c>
    </row>
    <row r="244" spans="1:5" x14ac:dyDescent="0.2">
      <c r="A244" t="s">
        <v>1</v>
      </c>
      <c r="B244">
        <v>2016</v>
      </c>
      <c r="C244">
        <v>0</v>
      </c>
      <c r="D244">
        <v>1</v>
      </c>
      <c r="E244">
        <v>0</v>
      </c>
    </row>
    <row r="245" spans="1:5" x14ac:dyDescent="0.2">
      <c r="A245" t="s">
        <v>1</v>
      </c>
      <c r="B245">
        <v>2017</v>
      </c>
      <c r="C245">
        <v>0</v>
      </c>
      <c r="D245">
        <v>1</v>
      </c>
      <c r="E245">
        <v>0</v>
      </c>
    </row>
    <row r="246" spans="1:5" x14ac:dyDescent="0.2">
      <c r="A246" t="s">
        <v>1</v>
      </c>
      <c r="B246">
        <v>2018</v>
      </c>
      <c r="C246">
        <v>0</v>
      </c>
      <c r="D246">
        <v>1</v>
      </c>
      <c r="E246">
        <v>0</v>
      </c>
    </row>
    <row r="247" spans="1:5" x14ac:dyDescent="0.2">
      <c r="A247" t="s">
        <v>1</v>
      </c>
      <c r="B247">
        <v>2019</v>
      </c>
      <c r="C247">
        <v>0</v>
      </c>
      <c r="D247">
        <v>1</v>
      </c>
      <c r="E247">
        <v>0</v>
      </c>
    </row>
    <row r="248" spans="1:5" x14ac:dyDescent="0.2">
      <c r="A248" t="s">
        <v>1</v>
      </c>
      <c r="B248">
        <v>2020</v>
      </c>
      <c r="C248">
        <v>0</v>
      </c>
      <c r="D248">
        <v>1</v>
      </c>
      <c r="E248">
        <v>0</v>
      </c>
    </row>
    <row r="249" spans="1:5" x14ac:dyDescent="0.2">
      <c r="A249" t="s">
        <v>1</v>
      </c>
      <c r="B249">
        <v>2021</v>
      </c>
      <c r="C249">
        <v>0</v>
      </c>
      <c r="D249">
        <v>1</v>
      </c>
      <c r="E249">
        <v>0</v>
      </c>
    </row>
    <row r="250" spans="1:5" x14ac:dyDescent="0.2">
      <c r="A250" t="s">
        <v>1</v>
      </c>
      <c r="B250">
        <v>2022</v>
      </c>
      <c r="C250">
        <v>0</v>
      </c>
      <c r="D250">
        <v>1</v>
      </c>
      <c r="E250">
        <v>0</v>
      </c>
    </row>
    <row r="251" spans="1:5" x14ac:dyDescent="0.2">
      <c r="A251" t="s">
        <v>1</v>
      </c>
      <c r="B251">
        <v>2023</v>
      </c>
      <c r="C251">
        <v>0</v>
      </c>
      <c r="D251">
        <v>1</v>
      </c>
      <c r="E251">
        <v>0</v>
      </c>
    </row>
    <row r="252" spans="1:5" x14ac:dyDescent="0.2">
      <c r="A252" t="s">
        <v>0</v>
      </c>
      <c r="B252">
        <v>2014</v>
      </c>
      <c r="C252">
        <v>0</v>
      </c>
      <c r="D252">
        <v>1</v>
      </c>
      <c r="E252">
        <v>0</v>
      </c>
    </row>
    <row r="253" spans="1:5" x14ac:dyDescent="0.2">
      <c r="A253" t="s">
        <v>0</v>
      </c>
      <c r="B253">
        <v>2015</v>
      </c>
      <c r="C253">
        <v>0</v>
      </c>
      <c r="D253">
        <v>1</v>
      </c>
      <c r="E253">
        <v>0</v>
      </c>
    </row>
    <row r="254" spans="1:5" x14ac:dyDescent="0.2">
      <c r="A254" t="s">
        <v>0</v>
      </c>
      <c r="B254">
        <v>2016</v>
      </c>
      <c r="C254">
        <v>0</v>
      </c>
      <c r="D254">
        <v>1</v>
      </c>
      <c r="E254">
        <v>0</v>
      </c>
    </row>
    <row r="255" spans="1:5" x14ac:dyDescent="0.2">
      <c r="A255" t="s">
        <v>0</v>
      </c>
      <c r="B255">
        <v>2017</v>
      </c>
      <c r="C255">
        <v>0</v>
      </c>
      <c r="D255">
        <v>1</v>
      </c>
      <c r="E255">
        <v>0</v>
      </c>
    </row>
    <row r="256" spans="1:5" x14ac:dyDescent="0.2">
      <c r="A256" t="s">
        <v>0</v>
      </c>
      <c r="B256">
        <v>2018</v>
      </c>
      <c r="C256">
        <v>0</v>
      </c>
      <c r="D256">
        <v>1</v>
      </c>
      <c r="E256">
        <v>0</v>
      </c>
    </row>
    <row r="257" spans="1:5" x14ac:dyDescent="0.2">
      <c r="A257" t="s">
        <v>0</v>
      </c>
      <c r="B257">
        <v>2019</v>
      </c>
      <c r="C257">
        <v>0</v>
      </c>
      <c r="D257">
        <v>1</v>
      </c>
      <c r="E257">
        <v>0</v>
      </c>
    </row>
    <row r="258" spans="1:5" x14ac:dyDescent="0.2">
      <c r="A258" t="s">
        <v>0</v>
      </c>
      <c r="B258">
        <v>2020</v>
      </c>
      <c r="C258">
        <v>0</v>
      </c>
      <c r="D258">
        <v>1</v>
      </c>
      <c r="E258">
        <v>0</v>
      </c>
    </row>
    <row r="259" spans="1:5" x14ac:dyDescent="0.2">
      <c r="A259" t="s">
        <v>0</v>
      </c>
      <c r="B259">
        <v>2021</v>
      </c>
      <c r="C259">
        <v>0</v>
      </c>
      <c r="D259">
        <v>1</v>
      </c>
      <c r="E259">
        <v>0</v>
      </c>
    </row>
    <row r="260" spans="1:5" x14ac:dyDescent="0.2">
      <c r="A260" t="s">
        <v>0</v>
      </c>
      <c r="B260">
        <v>2022</v>
      </c>
      <c r="C260">
        <v>0</v>
      </c>
      <c r="D260">
        <v>1</v>
      </c>
      <c r="E260">
        <v>0</v>
      </c>
    </row>
    <row r="261" spans="1:5" x14ac:dyDescent="0.2">
      <c r="A261" t="s">
        <v>0</v>
      </c>
      <c r="B261">
        <v>2023</v>
      </c>
      <c r="C261">
        <v>0</v>
      </c>
      <c r="D261">
        <v>1</v>
      </c>
      <c r="E2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panel_choc_taux_suisse_2014_202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DUCOTTERD Maxime</dc:creator>
  <cp:lastModifiedBy>DUCOTTERD Maxime</cp:lastModifiedBy>
  <dcterms:created xsi:type="dcterms:W3CDTF">2025-10-31T20:26:51Z</dcterms:created>
  <dcterms:modified xsi:type="dcterms:W3CDTF">2025-11-16T14:56:09Z</dcterms:modified>
</cp:coreProperties>
</file>